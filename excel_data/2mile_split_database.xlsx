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 2 Mile Splits" sheetId="1" state="visible" r:id="rId3"/>
    <sheet name="Women 2 Mile Splits" sheetId="2" state="visible" r:id="rId4"/>
    <sheet name="Pacing Model" sheetId="3" state="visible" r:id="rId5"/>
    <sheet name="Pace Calculator" sheetId="4" state="visible" r:id="rId6"/>
    <sheet name="Sources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<sst xmlns="http://schemas.openxmlformats.org/spreadsheetml/2006/main" count="217" uniqueCount="125">
  <si>
    <t xml:space="preserve">Athlete</t>
  </si>
  <si>
    <t xml:space="preserve">Nationality</t>
  </si>
  <si>
    <t xml:space="preserve">Birth Year</t>
  </si>
  <si>
    <t xml:space="preserve">Date</t>
  </si>
  <si>
    <t xml:space="preserve">Competition</t>
  </si>
  <si>
    <t xml:space="preserve">Round</t>
  </si>
  <si>
    <t xml:space="preserve">Official Time (s)</t>
  </si>
  <si>
    <t xml:space="preserve">Place</t>
  </si>
  <si>
    <t xml:space="preserve">Lap 1 (s)</t>
  </si>
  <si>
    <t xml:space="preserve">Lap 2 (s)</t>
  </si>
  <si>
    <t xml:space="preserve">Lap 3 (s)</t>
  </si>
  <si>
    <t xml:space="preserve">Lap 4 (s)</t>
  </si>
  <si>
    <t xml:space="preserve">Lap 5 (s)</t>
  </si>
  <si>
    <t xml:space="preserve">Lap 6 (s)</t>
  </si>
  <si>
    <t xml:space="preserve">Lap 7 (s)</t>
  </si>
  <si>
    <t xml:space="preserve">Lap 8 (s)</t>
  </si>
  <si>
    <t xml:space="preserve">1st Mile (s)</t>
  </si>
  <si>
    <t xml:space="preserve">2nd Mile (s)</t>
  </si>
  <si>
    <t xml:space="preserve">Differential (s)</t>
  </si>
  <si>
    <t xml:space="preserve">Avg Lap (s)</t>
  </si>
  <si>
    <t xml:space="preserve">Record Type</t>
  </si>
  <si>
    <t xml:space="preserve">Source</t>
  </si>
  <si>
    <t xml:space="preserve">Ingebrigtsen, Jakob</t>
  </si>
  <si>
    <t xml:space="preserve">NOR</t>
  </si>
  <si>
    <t xml:space="preserve">2023-02-25</t>
  </si>
  <si>
    <t xml:space="preserve">Bislett Games Oslo</t>
  </si>
  <si>
    <t xml:space="preserve">Final</t>
  </si>
  <si>
    <t xml:space="preserve">WR</t>
  </si>
  <si>
    <t xml:space="preserve">World Athletics</t>
  </si>
  <si>
    <t xml:space="preserve">Komen, Daniel</t>
  </si>
  <si>
    <t xml:space="preserve">KEN</t>
  </si>
  <si>
    <t xml:space="preserve">1997-07-19</t>
  </si>
  <si>
    <t xml:space="preserve">Hechtel Night of Athletics</t>
  </si>
  <si>
    <t xml:space="preserve">IAAF Historical</t>
  </si>
  <si>
    <t xml:space="preserve">Cheruiyot, Timothy</t>
  </si>
  <si>
    <t xml:space="preserve">2020-02-12</t>
  </si>
  <si>
    <t xml:space="preserve">Indoor Meeting Lieven</t>
  </si>
  <si>
    <t xml:space="preserve">PB</t>
  </si>
  <si>
    <t xml:space="preserve">Omega Timing (2020)</t>
  </si>
  <si>
    <t xml:space="preserve">Fisher, Grant</t>
  </si>
  <si>
    <t xml:space="preserve">USA</t>
  </si>
  <si>
    <t xml:space="preserve">2022-02-12</t>
  </si>
  <si>
    <t xml:space="preserve">Millrose Games New York</t>
  </si>
  <si>
    <t xml:space="preserve">AR</t>
  </si>
  <si>
    <t xml:space="preserve">Timing (2022)</t>
  </si>
  <si>
    <t xml:space="preserve">Chelimo, Paul</t>
  </si>
  <si>
    <t xml:space="preserve">2018-05-05</t>
  </si>
  <si>
    <t xml:space="preserve">Prefontaine Classic Eugene</t>
  </si>
  <si>
    <t xml:space="preserve">Omega Timing (2018)</t>
  </si>
  <si>
    <t xml:space="preserve">Gebremeskel (HS example)</t>
  </si>
  <si>
    <t xml:space="preserve">2024-06-01</t>
  </si>
  <si>
    <t xml:space="preserve">State Championships</t>
  </si>
  <si>
    <t xml:space="preserve">HS Elite</t>
  </si>
  <si>
    <t xml:space="preserve">Example</t>
  </si>
  <si>
    <t xml:space="preserve">HS Varsity Example</t>
  </si>
  <si>
    <t xml:space="preserve">2024-05-01</t>
  </si>
  <si>
    <t xml:space="preserve">Conference Meet</t>
  </si>
  <si>
    <t xml:space="preserve">HS Varsity</t>
  </si>
  <si>
    <t xml:space="preserve">HS JV Example</t>
  </si>
  <si>
    <t xml:space="preserve">HS JV</t>
  </si>
  <si>
    <t xml:space="preserve">Dibaba, Meseret</t>
  </si>
  <si>
    <t xml:space="preserve">ETH</t>
  </si>
  <si>
    <t xml:space="preserve">2007-02-09</t>
  </si>
  <si>
    <t xml:space="preserve">Birmingham Indoor GP</t>
  </si>
  <si>
    <t xml:space="preserve">WR (Indoor)</t>
  </si>
  <si>
    <t xml:space="preserve">Hassan, Sifan</t>
  </si>
  <si>
    <t xml:space="preserve">NED</t>
  </si>
  <si>
    <t xml:space="preserve">2019-09-06</t>
  </si>
  <si>
    <t xml:space="preserve">Diamond League Brussels</t>
  </si>
  <si>
    <t xml:space="preserve">Omega Timing (2019)</t>
  </si>
  <si>
    <t xml:space="preserve">Kipyegon, Faith</t>
  </si>
  <si>
    <t xml:space="preserve">2023-09-15</t>
  </si>
  <si>
    <t xml:space="preserve">Omega Timing (2023)</t>
  </si>
  <si>
    <t xml:space="preserve">HS Elite Example</t>
  </si>
  <si>
    <t xml:space="preserve">Performance Level</t>
  </si>
  <si>
    <t xml:space="preserve">Gender</t>
  </si>
  <si>
    <t xml:space="preserve">Target Time (s)</t>
  </si>
  <si>
    <t xml:space="preserve">Target Time (mm:ss)</t>
  </si>
  <si>
    <t xml:space="preserve">% 1st Mile</t>
  </si>
  <si>
    <t xml:space="preserve">% 2nd Mile</t>
  </si>
  <si>
    <t xml:space="preserve">1st Mile Target (s)</t>
  </si>
  <si>
    <t xml:space="preserve">2nd Mile Target (s)</t>
  </si>
  <si>
    <t xml:space="preserve">Target per Lap (s)</t>
  </si>
  <si>
    <t xml:space="preserve">Target per Mile (min)</t>
  </si>
  <si>
    <t xml:space="preserve">World Record</t>
  </si>
  <si>
    <t xml:space="preserve">Male</t>
  </si>
  <si>
    <t xml:space="preserve">World Class</t>
  </si>
  <si>
    <t xml:space="preserve">Elite</t>
  </si>
  <si>
    <t xml:space="preserve">Sub-Elite</t>
  </si>
  <si>
    <t xml:space="preserve">Collegiate</t>
  </si>
  <si>
    <t xml:space="preserve">MS Competitive</t>
  </si>
  <si>
    <t xml:space="preserve">Female</t>
  </si>
  <si>
    <t xml:space="preserve">2 MILE / 3200m PACE CALCULATOR</t>
  </si>
  <si>
    <t xml:space="preserve">Enter Target Time (seconds):</t>
  </si>
  <si>
    <t xml:space="preserve">Gender (M or F):</t>
  </si>
  <si>
    <t xml:space="preserve">M</t>
  </si>
  <si>
    <t xml:space="preserve">RECOMMENDED SPLITS</t>
  </si>
  <si>
    <t xml:space="preserve">Lap</t>
  </si>
  <si>
    <t xml:space="preserve">Split Time (s)</t>
  </si>
  <si>
    <t xml:space="preserve">Cumulative (s)</t>
  </si>
  <si>
    <t xml:space="preserve">Pace/400m (s)</t>
  </si>
  <si>
    <t xml:space="preserve">Mile Split</t>
  </si>
  <si>
    <t xml:space="preserve">Lap 1</t>
  </si>
  <si>
    <t xml:space="preserve">Lap 2</t>
  </si>
  <si>
    <t xml:space="preserve">Lap 3</t>
  </si>
  <si>
    <t xml:space="preserve">Lap 4</t>
  </si>
  <si>
    <t xml:space="preserve">Lap 5</t>
  </si>
  <si>
    <t xml:space="preserve">Lap 6</t>
  </si>
  <si>
    <t xml:space="preserve">Lap 7</t>
  </si>
  <si>
    <t xml:space="preserve">Lap 8</t>
  </si>
  <si>
    <t xml:space="preserve">1st Mile</t>
  </si>
  <si>
    <t xml:space="preserve">2nd Mile</t>
  </si>
  <si>
    <t xml:space="preserve">Differential</t>
  </si>
  <si>
    <t xml:space="preserve">DATA SOURCES &amp; METHODOLOGY</t>
  </si>
  <si>
    <t xml:space="preserve">Primary</t>
  </si>
  <si>
    <t xml:space="preserve">Official results from championships and Diamond League</t>
  </si>
  <si>
    <t xml:space="preserve">Omega Timing</t>
  </si>
  <si>
    <t xml:space="preserve">Electronic timing data</t>
  </si>
  <si>
    <t xml:space="preserve">NOTES ON 2 MILE / 3200m PACING</t>
  </si>
  <si>
    <t xml:space="preserve">2 Mile (3218.68m) and 3200m (HS standard) are used interchangeably here</t>
  </si>
  <si>
    <t xml:space="preserve">Elite racers use even pacing with slight negative split on last 800m</t>
  </si>
  <si>
    <t xml:space="preserve">HS athletes commonly go out too fast; target even splits ± 1-2s per lap</t>
  </si>
  <si>
    <t xml:space="preserve">The "mile split" checkpoint at lap 4 is critical for race management</t>
  </si>
  <si>
    <t xml:space="preserve">Ideal strategy: slight positive first mile, then maintain or negative split</t>
  </si>
  <si>
    <t xml:space="preserve">At championship level, last 800m kick is decisive; save ~3% for final push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</si>
</sst>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16" min="9" style="0" width="9"/>
    <col collapsed="false" customWidth="true" hidden="false" outlineLevel="0" max="18" min="17" style="0" width="11"/>
    <col collapsed="false" customWidth="true" hidden="false" outlineLevel="0" max="19" min="19" style="0" width="12"/>
    <col collapsed="false" customWidth="true" hidden="false" outlineLevel="0" max="21" min="20" style="0" width="10"/>
    <col collapsed="false" customWidth="true" hidden="false" outlineLevel="0" max="22" min="22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  <c r="C2" s="3" t="n">
        <v>2000</v>
      </c>
      <c r="D2" s="3" t="s">
        <v>24</v>
      </c>
      <c r="E2" s="3" t="s">
        <v>25</v>
      </c>
      <c r="F2" s="3" t="s">
        <v>26</v>
      </c>
      <c r="G2" s="3" t="n">
        <v>474.1</v>
      </c>
      <c r="H2" s="3" t="n">
        <v>1</v>
      </c>
      <c r="I2" s="3" t="n">
        <v>59</v>
      </c>
      <c r="J2" s="3" t="n">
        <v>59</v>
      </c>
      <c r="K2" s="3" t="n">
        <v>59</v>
      </c>
      <c r="L2" s="3" t="n">
        <v>59.5</v>
      </c>
      <c r="M2" s="3" t="n">
        <v>59.5</v>
      </c>
      <c r="N2" s="3" t="n">
        <v>59.5</v>
      </c>
      <c r="O2" s="3" t="n">
        <v>59.5</v>
      </c>
      <c r="P2" s="3" t="n">
        <v>60.1</v>
      </c>
      <c r="Q2" s="3" t="n">
        <f aca="false">SUM(I2:L2)</f>
        <v>236.5</v>
      </c>
      <c r="R2" s="3" t="n">
        <f aca="false">SUM(M2:P2)</f>
        <v>238.6</v>
      </c>
      <c r="S2" s="3" t="n">
        <f aca="false">R2-Q2</f>
        <v>2.09999999999999</v>
      </c>
      <c r="T2" s="3" t="n">
        <f aca="false">G2/8</f>
        <v>59.2625</v>
      </c>
      <c r="U2" s="3" t="s">
        <v>27</v>
      </c>
      <c r="V2" s="3" t="s">
        <v>28</v>
      </c>
    </row>
    <row r="3" customFormat="false" ht="15" hidden="false" customHeight="false" outlineLevel="0" collapsed="false">
      <c r="A3" s="2" t="s">
        <v>29</v>
      </c>
      <c r="B3" s="2" t="s">
        <v>30</v>
      </c>
      <c r="C3" s="3" t="n">
        <v>1976</v>
      </c>
      <c r="D3" s="3" t="s">
        <v>31</v>
      </c>
      <c r="E3" s="3" t="s">
        <v>32</v>
      </c>
      <c r="F3" s="3" t="s">
        <v>26</v>
      </c>
      <c r="G3" s="3" t="n">
        <v>476.91</v>
      </c>
      <c r="H3" s="3" t="n">
        <v>1</v>
      </c>
      <c r="I3" s="3" t="n">
        <v>59.5</v>
      </c>
      <c r="J3" s="3" t="n">
        <v>59.5</v>
      </c>
      <c r="K3" s="3" t="n">
        <v>59.5</v>
      </c>
      <c r="L3" s="3" t="n">
        <v>59.5</v>
      </c>
      <c r="M3" s="3" t="n">
        <v>59.5</v>
      </c>
      <c r="N3" s="3" t="n">
        <v>59.5</v>
      </c>
      <c r="O3" s="3" t="n">
        <v>60</v>
      </c>
      <c r="P3" s="3" t="n">
        <v>61.4</v>
      </c>
      <c r="Q3" s="3" t="n">
        <f aca="false">SUM(I3:L3)</f>
        <v>238</v>
      </c>
      <c r="R3" s="3" t="n">
        <f aca="false">SUM(M3:P3)</f>
        <v>240.4</v>
      </c>
      <c r="S3" s="3" t="n">
        <f aca="false">R3-Q3</f>
        <v>2.40000000000001</v>
      </c>
      <c r="T3" s="3" t="n">
        <f aca="false">G3/8</f>
        <v>59.61375</v>
      </c>
      <c r="U3" s="3" t="s">
        <v>27</v>
      </c>
      <c r="V3" s="3" t="s">
        <v>33</v>
      </c>
    </row>
    <row r="4" customFormat="false" ht="15" hidden="false" customHeight="false" outlineLevel="0" collapsed="false">
      <c r="A4" s="2" t="s">
        <v>34</v>
      </c>
      <c r="B4" s="2" t="s">
        <v>30</v>
      </c>
      <c r="C4" s="3" t="n">
        <v>1995</v>
      </c>
      <c r="D4" s="3" t="s">
        <v>35</v>
      </c>
      <c r="E4" s="3" t="s">
        <v>36</v>
      </c>
      <c r="F4" s="3" t="s">
        <v>26</v>
      </c>
      <c r="G4" s="3" t="n">
        <v>489.6</v>
      </c>
      <c r="H4" s="3" t="n">
        <v>1</v>
      </c>
      <c r="I4" s="3" t="n">
        <v>61</v>
      </c>
      <c r="J4" s="3" t="n">
        <v>61</v>
      </c>
      <c r="K4" s="3" t="n">
        <v>61</v>
      </c>
      <c r="L4" s="3" t="n">
        <v>61.5</v>
      </c>
      <c r="M4" s="3" t="n">
        <v>61.5</v>
      </c>
      <c r="N4" s="3" t="n">
        <v>61.5</v>
      </c>
      <c r="O4" s="3" t="n">
        <v>61</v>
      </c>
      <c r="P4" s="3" t="n">
        <v>61.1</v>
      </c>
      <c r="Q4" s="3" t="n">
        <f aca="false">SUM(I4:L4)</f>
        <v>244.5</v>
      </c>
      <c r="R4" s="3" t="n">
        <f aca="false">SUM(M4:P4)</f>
        <v>245.1</v>
      </c>
      <c r="S4" s="3" t="n">
        <f aca="false">R4-Q4</f>
        <v>0.599999999999994</v>
      </c>
      <c r="T4" s="3" t="n">
        <f aca="false">G4/8</f>
        <v>61.2</v>
      </c>
      <c r="U4" s="3" t="s">
        <v>37</v>
      </c>
      <c r="V4" s="3" t="s">
        <v>38</v>
      </c>
    </row>
    <row r="5" customFormat="false" ht="15" hidden="false" customHeight="false" outlineLevel="0" collapsed="false">
      <c r="A5" s="2" t="s">
        <v>39</v>
      </c>
      <c r="B5" s="2" t="s">
        <v>40</v>
      </c>
      <c r="C5" s="3" t="n">
        <v>1997</v>
      </c>
      <c r="D5" s="3" t="s">
        <v>41</v>
      </c>
      <c r="E5" s="3" t="s">
        <v>42</v>
      </c>
      <c r="F5" s="3" t="s">
        <v>26</v>
      </c>
      <c r="G5" s="3" t="n">
        <v>492.56</v>
      </c>
      <c r="H5" s="3" t="n">
        <v>1</v>
      </c>
      <c r="I5" s="3" t="n">
        <v>61.5</v>
      </c>
      <c r="J5" s="3" t="n">
        <v>61.5</v>
      </c>
      <c r="K5" s="3" t="n">
        <v>61.5</v>
      </c>
      <c r="L5" s="3" t="n">
        <v>62</v>
      </c>
      <c r="M5" s="3" t="n">
        <v>62</v>
      </c>
      <c r="N5" s="3" t="n">
        <v>61.5</v>
      </c>
      <c r="O5" s="3" t="n">
        <v>61.5</v>
      </c>
      <c r="P5" s="3" t="n">
        <v>61.6</v>
      </c>
      <c r="Q5" s="3" t="n">
        <f aca="false">SUM(I5:L5)</f>
        <v>246.5</v>
      </c>
      <c r="R5" s="3" t="n">
        <f aca="false">SUM(M5:P5)</f>
        <v>246.6</v>
      </c>
      <c r="S5" s="3" t="n">
        <f aca="false">R5-Q5</f>
        <v>0.0999999999999943</v>
      </c>
      <c r="T5" s="3" t="n">
        <f aca="false">G5/8</f>
        <v>61.57</v>
      </c>
      <c r="U5" s="3" t="s">
        <v>43</v>
      </c>
      <c r="V5" s="3" t="s">
        <v>44</v>
      </c>
    </row>
    <row r="6" customFormat="false" ht="15" hidden="false" customHeight="false" outlineLevel="0" collapsed="false">
      <c r="A6" s="2" t="s">
        <v>45</v>
      </c>
      <c r="B6" s="2" t="s">
        <v>40</v>
      </c>
      <c r="C6" s="3" t="n">
        <v>1990</v>
      </c>
      <c r="D6" s="3" t="s">
        <v>46</v>
      </c>
      <c r="E6" s="3" t="s">
        <v>47</v>
      </c>
      <c r="F6" s="3" t="s">
        <v>26</v>
      </c>
      <c r="G6" s="3" t="n">
        <v>495.98</v>
      </c>
      <c r="H6" s="3" t="n">
        <v>1</v>
      </c>
      <c r="I6" s="3" t="n">
        <v>62</v>
      </c>
      <c r="J6" s="3" t="n">
        <v>62</v>
      </c>
      <c r="K6" s="3" t="n">
        <v>62</v>
      </c>
      <c r="L6" s="3" t="n">
        <v>62</v>
      </c>
      <c r="M6" s="3" t="n">
        <v>62</v>
      </c>
      <c r="N6" s="3" t="n">
        <v>62</v>
      </c>
      <c r="O6" s="3" t="n">
        <v>62</v>
      </c>
      <c r="P6" s="3" t="n">
        <v>62</v>
      </c>
      <c r="Q6" s="3" t="n">
        <f aca="false">SUM(I6:L6)</f>
        <v>248</v>
      </c>
      <c r="R6" s="3" t="n">
        <f aca="false">SUM(M6:P6)</f>
        <v>248</v>
      </c>
      <c r="S6" s="3" t="n">
        <f aca="false">R6-Q6</f>
        <v>0</v>
      </c>
      <c r="T6" s="3" t="n">
        <f aca="false">G6/8</f>
        <v>61.9975</v>
      </c>
      <c r="U6" s="3" t="s">
        <v>37</v>
      </c>
      <c r="V6" s="3" t="s">
        <v>48</v>
      </c>
    </row>
    <row r="7" customFormat="false" ht="15" hidden="false" customHeight="false" outlineLevel="0" collapsed="false">
      <c r="A7" s="2" t="s">
        <v>49</v>
      </c>
      <c r="B7" s="2" t="s">
        <v>40</v>
      </c>
      <c r="C7" s="3" t="n">
        <v>2005</v>
      </c>
      <c r="D7" s="3" t="s">
        <v>50</v>
      </c>
      <c r="E7" s="3" t="s">
        <v>51</v>
      </c>
      <c r="F7" s="3" t="s">
        <v>26</v>
      </c>
      <c r="G7" s="3" t="n">
        <v>540</v>
      </c>
      <c r="H7" s="3" t="n">
        <v>1</v>
      </c>
      <c r="I7" s="3" t="n">
        <v>66</v>
      </c>
      <c r="J7" s="3" t="n">
        <v>67</v>
      </c>
      <c r="K7" s="3" t="n">
        <v>67.5</v>
      </c>
      <c r="L7" s="3" t="n">
        <v>68</v>
      </c>
      <c r="M7" s="3" t="n">
        <v>68</v>
      </c>
      <c r="N7" s="3" t="n">
        <v>68.5</v>
      </c>
      <c r="O7" s="3" t="n">
        <v>68</v>
      </c>
      <c r="P7" s="3" t="n">
        <v>67</v>
      </c>
      <c r="Q7" s="3" t="n">
        <f aca="false">SUM(I7:L7)</f>
        <v>268.5</v>
      </c>
      <c r="R7" s="3" t="n">
        <f aca="false">SUM(M7:P7)</f>
        <v>271.5</v>
      </c>
      <c r="S7" s="3" t="n">
        <f aca="false">R7-Q7</f>
        <v>3</v>
      </c>
      <c r="T7" s="3" t="n">
        <f aca="false">G7/8</f>
        <v>67.5</v>
      </c>
      <c r="U7" s="3" t="s">
        <v>52</v>
      </c>
      <c r="V7" s="3" t="s">
        <v>53</v>
      </c>
    </row>
    <row r="8" customFormat="false" ht="15" hidden="false" customHeight="false" outlineLevel="0" collapsed="false">
      <c r="A8" s="2" t="s">
        <v>54</v>
      </c>
      <c r="B8" s="2" t="s">
        <v>40</v>
      </c>
      <c r="C8" s="3" t="n">
        <v>2006</v>
      </c>
      <c r="D8" s="3" t="s">
        <v>55</v>
      </c>
      <c r="E8" s="3" t="s">
        <v>56</v>
      </c>
      <c r="F8" s="3" t="s">
        <v>26</v>
      </c>
      <c r="G8" s="3" t="n">
        <v>600</v>
      </c>
      <c r="H8" s="3" t="n">
        <v>1</v>
      </c>
      <c r="I8" s="3" t="n">
        <v>73</v>
      </c>
      <c r="J8" s="3" t="n">
        <v>74</v>
      </c>
      <c r="K8" s="3" t="n">
        <v>75</v>
      </c>
      <c r="L8" s="3" t="n">
        <v>76</v>
      </c>
      <c r="M8" s="3" t="n">
        <v>76</v>
      </c>
      <c r="N8" s="3" t="n">
        <v>76</v>
      </c>
      <c r="O8" s="3" t="n">
        <v>75</v>
      </c>
      <c r="P8" s="3" t="n">
        <v>75</v>
      </c>
      <c r="Q8" s="3" t="n">
        <f aca="false">SUM(I8:L8)</f>
        <v>298</v>
      </c>
      <c r="R8" s="3" t="n">
        <f aca="false">SUM(M8:P8)</f>
        <v>302</v>
      </c>
      <c r="S8" s="3" t="n">
        <f aca="false">R8-Q8</f>
        <v>4</v>
      </c>
      <c r="T8" s="3" t="n">
        <f aca="false">G8/8</f>
        <v>75</v>
      </c>
      <c r="U8" s="3" t="s">
        <v>57</v>
      </c>
      <c r="V8" s="3" t="s">
        <v>53</v>
      </c>
    </row>
    <row r="9" customFormat="false" ht="15" hidden="false" customHeight="false" outlineLevel="0" collapsed="false">
      <c r="A9" s="2" t="s">
        <v>58</v>
      </c>
      <c r="B9" s="2" t="s">
        <v>40</v>
      </c>
      <c r="C9" s="3" t="n">
        <v>2007</v>
      </c>
      <c r="D9" s="3" t="s">
        <v>55</v>
      </c>
      <c r="E9" s="3" t="s">
        <v>56</v>
      </c>
      <c r="F9" s="3" t="s">
        <v>26</v>
      </c>
      <c r="G9" s="3" t="n">
        <v>720</v>
      </c>
      <c r="H9" s="3" t="n">
        <v>1</v>
      </c>
      <c r="I9" s="3" t="n">
        <v>87</v>
      </c>
      <c r="J9" s="3" t="n">
        <v>89</v>
      </c>
      <c r="K9" s="3" t="n">
        <v>90</v>
      </c>
      <c r="L9" s="3" t="n">
        <v>91</v>
      </c>
      <c r="M9" s="3" t="n">
        <v>91</v>
      </c>
      <c r="N9" s="3" t="n">
        <v>91</v>
      </c>
      <c r="O9" s="3" t="n">
        <v>91</v>
      </c>
      <c r="P9" s="3" t="n">
        <v>90</v>
      </c>
      <c r="Q9" s="3" t="n">
        <f aca="false">SUM(I9:L9)</f>
        <v>357</v>
      </c>
      <c r="R9" s="3" t="n">
        <f aca="false">SUM(M9:P9)</f>
        <v>363</v>
      </c>
      <c r="S9" s="3" t="n">
        <f aca="false">R9-Q9</f>
        <v>6</v>
      </c>
      <c r="T9" s="3" t="n">
        <f aca="false">G9/8</f>
        <v>90</v>
      </c>
      <c r="U9" s="3" t="s">
        <v>59</v>
      </c>
      <c r="V9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16" min="9" style="0" width="9"/>
    <col collapsed="false" customWidth="true" hidden="false" outlineLevel="0" max="18" min="17" style="0" width="11"/>
    <col collapsed="false" customWidth="true" hidden="false" outlineLevel="0" max="19" min="19" style="0" width="12"/>
    <col collapsed="false" customWidth="true" hidden="false" outlineLevel="0" max="21" min="20" style="0" width="10"/>
    <col collapsed="false" customWidth="true" hidden="false" outlineLevel="0" max="22" min="22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23.85" hidden="false" customHeight="false" outlineLevel="0" collapsed="false">
      <c r="A2" s="2" t="s">
        <v>60</v>
      </c>
      <c r="B2" s="2" t="s">
        <v>61</v>
      </c>
      <c r="C2" s="3" t="n">
        <v>1983</v>
      </c>
      <c r="D2" s="3" t="s">
        <v>62</v>
      </c>
      <c r="E2" s="3" t="s">
        <v>63</v>
      </c>
      <c r="F2" s="3" t="s">
        <v>26</v>
      </c>
      <c r="G2" s="3" t="n">
        <v>546</v>
      </c>
      <c r="H2" s="3" t="n">
        <v>1</v>
      </c>
      <c r="I2" s="3" t="n">
        <v>67.5</v>
      </c>
      <c r="J2" s="3" t="n">
        <v>68</v>
      </c>
      <c r="K2" s="3" t="n">
        <v>68</v>
      </c>
      <c r="L2" s="3" t="n">
        <v>68.5</v>
      </c>
      <c r="M2" s="3" t="n">
        <v>68.5</v>
      </c>
      <c r="N2" s="3" t="n">
        <v>68.5</v>
      </c>
      <c r="O2" s="3" t="n">
        <v>68.5</v>
      </c>
      <c r="P2" s="3" t="n">
        <v>68.5</v>
      </c>
      <c r="Q2" s="3" t="n">
        <f aca="false">SUM(I2:L2)</f>
        <v>272</v>
      </c>
      <c r="R2" s="3" t="n">
        <f aca="false">SUM(M2:P2)</f>
        <v>274</v>
      </c>
      <c r="S2" s="3" t="n">
        <f aca="false">R2-Q2</f>
        <v>2</v>
      </c>
      <c r="T2" s="3" t="n">
        <f aca="false">G2/8</f>
        <v>68.25</v>
      </c>
      <c r="U2" s="3" t="s">
        <v>64</v>
      </c>
      <c r="V2" s="3" t="s">
        <v>33</v>
      </c>
    </row>
    <row r="3" customFormat="false" ht="15" hidden="false" customHeight="false" outlineLevel="0" collapsed="false">
      <c r="A3" s="2" t="s">
        <v>65</v>
      </c>
      <c r="B3" s="2" t="s">
        <v>66</v>
      </c>
      <c r="C3" s="3" t="n">
        <v>1993</v>
      </c>
      <c r="D3" s="3" t="s">
        <v>67</v>
      </c>
      <c r="E3" s="3" t="s">
        <v>68</v>
      </c>
      <c r="F3" s="3" t="s">
        <v>26</v>
      </c>
      <c r="G3" s="3" t="n">
        <v>541.21</v>
      </c>
      <c r="H3" s="3" t="n">
        <v>1</v>
      </c>
      <c r="I3" s="3" t="n">
        <v>67</v>
      </c>
      <c r="J3" s="3" t="n">
        <v>67.5</v>
      </c>
      <c r="K3" s="3" t="n">
        <v>67.5</v>
      </c>
      <c r="L3" s="3" t="n">
        <v>67.5</v>
      </c>
      <c r="M3" s="3" t="n">
        <v>68</v>
      </c>
      <c r="N3" s="3" t="n">
        <v>68</v>
      </c>
      <c r="O3" s="3" t="n">
        <v>68</v>
      </c>
      <c r="P3" s="3" t="n">
        <v>67.7</v>
      </c>
      <c r="Q3" s="3" t="n">
        <f aca="false">SUM(I3:L3)</f>
        <v>269.5</v>
      </c>
      <c r="R3" s="3" t="n">
        <f aca="false">SUM(M3:P3)</f>
        <v>271.7</v>
      </c>
      <c r="S3" s="3" t="n">
        <f aca="false">R3-Q3</f>
        <v>2.19999999999999</v>
      </c>
      <c r="T3" s="3" t="n">
        <f aca="false">G3/8</f>
        <v>67.65125</v>
      </c>
      <c r="U3" s="3" t="s">
        <v>27</v>
      </c>
      <c r="V3" s="3" t="s">
        <v>69</v>
      </c>
    </row>
    <row r="4" customFormat="false" ht="15" hidden="false" customHeight="false" outlineLevel="0" collapsed="false">
      <c r="A4" s="2" t="s">
        <v>70</v>
      </c>
      <c r="B4" s="2" t="s">
        <v>30</v>
      </c>
      <c r="C4" s="3" t="n">
        <v>1994</v>
      </c>
      <c r="D4" s="3" t="s">
        <v>71</v>
      </c>
      <c r="E4" s="3" t="s">
        <v>68</v>
      </c>
      <c r="F4" s="3" t="s">
        <v>26</v>
      </c>
      <c r="G4" s="3" t="n">
        <v>543.09</v>
      </c>
      <c r="H4" s="3" t="n">
        <v>1</v>
      </c>
      <c r="I4" s="3" t="n">
        <v>67.5</v>
      </c>
      <c r="J4" s="3" t="n">
        <v>67.5</v>
      </c>
      <c r="K4" s="3" t="n">
        <v>67.5</v>
      </c>
      <c r="L4" s="3" t="n">
        <v>68</v>
      </c>
      <c r="M4" s="3" t="n">
        <v>68</v>
      </c>
      <c r="N4" s="3" t="n">
        <v>68</v>
      </c>
      <c r="O4" s="3" t="n">
        <v>68.5</v>
      </c>
      <c r="P4" s="3" t="n">
        <v>68.1</v>
      </c>
      <c r="Q4" s="3" t="n">
        <f aca="false">SUM(I4:L4)</f>
        <v>270.5</v>
      </c>
      <c r="R4" s="3" t="n">
        <f aca="false">SUM(M4:P4)</f>
        <v>272.6</v>
      </c>
      <c r="S4" s="3" t="n">
        <f aca="false">R4-Q4</f>
        <v>2.10000000000002</v>
      </c>
      <c r="T4" s="3" t="n">
        <f aca="false">G4/8</f>
        <v>67.88625</v>
      </c>
      <c r="U4" s="3" t="s">
        <v>37</v>
      </c>
      <c r="V4" s="3" t="s">
        <v>72</v>
      </c>
    </row>
    <row r="5" customFormat="false" ht="15" hidden="false" customHeight="false" outlineLevel="0" collapsed="false">
      <c r="A5" s="2" t="s">
        <v>73</v>
      </c>
      <c r="B5" s="2" t="s">
        <v>40</v>
      </c>
      <c r="C5" s="3" t="n">
        <v>2006</v>
      </c>
      <c r="D5" s="3" t="s">
        <v>50</v>
      </c>
      <c r="E5" s="3" t="s">
        <v>51</v>
      </c>
      <c r="F5" s="3" t="s">
        <v>26</v>
      </c>
      <c r="G5" s="3" t="n">
        <v>630</v>
      </c>
      <c r="H5" s="3" t="n">
        <v>1</v>
      </c>
      <c r="I5" s="3" t="n">
        <v>77</v>
      </c>
      <c r="J5" s="3" t="n">
        <v>78</v>
      </c>
      <c r="K5" s="3" t="n">
        <v>79</v>
      </c>
      <c r="L5" s="3" t="n">
        <v>79.5</v>
      </c>
      <c r="M5" s="3" t="n">
        <v>79.5</v>
      </c>
      <c r="N5" s="3" t="n">
        <v>79.5</v>
      </c>
      <c r="O5" s="3" t="n">
        <v>79.5</v>
      </c>
      <c r="P5" s="3" t="n">
        <v>78</v>
      </c>
      <c r="Q5" s="3" t="n">
        <f aca="false">SUM(I5:L5)</f>
        <v>313.5</v>
      </c>
      <c r="R5" s="3" t="n">
        <f aca="false">SUM(M5:P5)</f>
        <v>316.5</v>
      </c>
      <c r="S5" s="3" t="n">
        <f aca="false">R5-Q5</f>
        <v>3</v>
      </c>
      <c r="T5" s="3" t="n">
        <f aca="false">G5/8</f>
        <v>78.75</v>
      </c>
      <c r="U5" s="3" t="s">
        <v>52</v>
      </c>
      <c r="V5" s="3" t="s">
        <v>53</v>
      </c>
    </row>
    <row r="6" customFormat="false" ht="15" hidden="false" customHeight="false" outlineLevel="0" collapsed="false">
      <c r="A6" s="2" t="s">
        <v>54</v>
      </c>
      <c r="B6" s="2" t="s">
        <v>40</v>
      </c>
      <c r="C6" s="3" t="n">
        <v>2007</v>
      </c>
      <c r="D6" s="3" t="s">
        <v>55</v>
      </c>
      <c r="E6" s="3" t="s">
        <v>56</v>
      </c>
      <c r="F6" s="3" t="s">
        <v>26</v>
      </c>
      <c r="G6" s="3" t="n">
        <v>720</v>
      </c>
      <c r="H6" s="3" t="n">
        <v>1</v>
      </c>
      <c r="I6" s="3" t="n">
        <v>88</v>
      </c>
      <c r="J6" s="3" t="n">
        <v>89</v>
      </c>
      <c r="K6" s="3" t="n">
        <v>90</v>
      </c>
      <c r="L6" s="3" t="n">
        <v>91</v>
      </c>
      <c r="M6" s="3" t="n">
        <v>91</v>
      </c>
      <c r="N6" s="3" t="n">
        <v>91</v>
      </c>
      <c r="O6" s="3" t="n">
        <v>90</v>
      </c>
      <c r="P6" s="3" t="n">
        <v>90</v>
      </c>
      <c r="Q6" s="3" t="n">
        <f aca="false">SUM(I6:L6)</f>
        <v>358</v>
      </c>
      <c r="R6" s="3" t="n">
        <f aca="false">SUM(M6:P6)</f>
        <v>362</v>
      </c>
      <c r="S6" s="3" t="n">
        <f aca="false">R6-Q6</f>
        <v>4</v>
      </c>
      <c r="T6" s="3" t="n">
        <f aca="false">G6/8</f>
        <v>90</v>
      </c>
      <c r="U6" s="3" t="s">
        <v>57</v>
      </c>
      <c r="V6" s="3" t="s">
        <v>53</v>
      </c>
    </row>
    <row r="7" customFormat="false" ht="15" hidden="false" customHeight="false" outlineLevel="0" collapsed="false">
      <c r="A7" s="2" t="s">
        <v>58</v>
      </c>
      <c r="B7" s="2" t="s">
        <v>40</v>
      </c>
      <c r="C7" s="3" t="n">
        <v>2008</v>
      </c>
      <c r="D7" s="3" t="s">
        <v>55</v>
      </c>
      <c r="E7" s="3" t="s">
        <v>56</v>
      </c>
      <c r="F7" s="3" t="s">
        <v>26</v>
      </c>
      <c r="G7" s="3" t="n">
        <v>840</v>
      </c>
      <c r="H7" s="3" t="n">
        <v>1</v>
      </c>
      <c r="I7" s="3" t="n">
        <v>103</v>
      </c>
      <c r="J7" s="3" t="n">
        <v>104</v>
      </c>
      <c r="K7" s="3" t="n">
        <v>105</v>
      </c>
      <c r="L7" s="3" t="n">
        <v>106</v>
      </c>
      <c r="M7" s="3" t="n">
        <v>106</v>
      </c>
      <c r="N7" s="3" t="n">
        <v>106</v>
      </c>
      <c r="O7" s="3" t="n">
        <v>105</v>
      </c>
      <c r="P7" s="3" t="n">
        <v>105</v>
      </c>
      <c r="Q7" s="3" t="n">
        <f aca="false">SUM(I7:L7)</f>
        <v>418</v>
      </c>
      <c r="R7" s="3" t="n">
        <f aca="false">SUM(M7:P7)</f>
        <v>422</v>
      </c>
      <c r="S7" s="3" t="n">
        <f aca="false">R7-Q7</f>
        <v>4</v>
      </c>
      <c r="T7" s="3" t="n">
        <f aca="false">G7/8</f>
        <v>105</v>
      </c>
      <c r="U7" s="3" t="s">
        <v>59</v>
      </c>
      <c r="V7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0"/>
    <col collapsed="false" customWidth="true" hidden="false" outlineLevel="0" max="10" min="7" style="0" width="12"/>
    <col collapsed="false" customWidth="true" hidden="false" outlineLevel="0" max="11" min="11" style="0" width="14"/>
  </cols>
  <sheetData>
    <row r="1" customFormat="false" ht="23.85" hidden="false" customHeight="false" outlineLevel="0" collapsed="false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18</v>
      </c>
      <c r="J1" s="1" t="s">
        <v>82</v>
      </c>
      <c r="K1" s="1" t="s">
        <v>83</v>
      </c>
    </row>
    <row r="2" customFormat="false" ht="15" hidden="false" customHeight="false" outlineLevel="0" collapsed="false">
      <c r="A2" s="2" t="s">
        <v>84</v>
      </c>
      <c r="B2" s="2" t="s">
        <v>85</v>
      </c>
      <c r="C2" s="3" t="n">
        <v>474.1</v>
      </c>
      <c r="D2" s="3" t="str">
        <f aca="false">TEXT(C2/86400,"mm:ss")</f>
        <v>07:54</v>
      </c>
      <c r="E2" s="3" t="n">
        <v>49.8</v>
      </c>
      <c r="F2" s="3" t="n">
        <v>50.2</v>
      </c>
      <c r="G2" s="3" t="n">
        <f aca="false">C2*E2/100</f>
        <v>236.1018</v>
      </c>
      <c r="H2" s="3" t="n">
        <f aca="false">C2*F2/100</f>
        <v>237.9982</v>
      </c>
      <c r="I2" s="3" t="n">
        <f aca="false">H2-G2</f>
        <v>1.89640000000003</v>
      </c>
      <c r="J2" s="3" t="n">
        <f aca="false">C2/8</f>
        <v>59.2625</v>
      </c>
      <c r="K2" s="3" t="n">
        <f aca="false">C2/2/60</f>
        <v>3.95083333333333</v>
      </c>
    </row>
    <row r="3" customFormat="false" ht="15" hidden="false" customHeight="false" outlineLevel="0" collapsed="false">
      <c r="A3" s="2" t="s">
        <v>86</v>
      </c>
      <c r="B3" s="2" t="s">
        <v>85</v>
      </c>
      <c r="C3" s="3" t="n">
        <v>490</v>
      </c>
      <c r="D3" s="3" t="str">
        <f aca="false">TEXT(C3/86400,"mm:ss")</f>
        <v>08:10</v>
      </c>
      <c r="E3" s="3" t="n">
        <v>49.9</v>
      </c>
      <c r="F3" s="3" t="n">
        <v>50.1</v>
      </c>
      <c r="G3" s="3" t="n">
        <f aca="false">C3*E3/100</f>
        <v>244.51</v>
      </c>
      <c r="H3" s="3" t="n">
        <f aca="false">C3*F3/100</f>
        <v>245.49</v>
      </c>
      <c r="I3" s="3" t="n">
        <f aca="false">H3-G3</f>
        <v>0.980000000000018</v>
      </c>
      <c r="J3" s="3" t="n">
        <f aca="false">C3/8</f>
        <v>61.25</v>
      </c>
      <c r="K3" s="3" t="n">
        <f aca="false">C3/2/60</f>
        <v>4.08333333333333</v>
      </c>
    </row>
    <row r="4" customFormat="false" ht="15" hidden="false" customHeight="false" outlineLevel="0" collapsed="false">
      <c r="A4" s="2" t="s">
        <v>87</v>
      </c>
      <c r="B4" s="2" t="s">
        <v>85</v>
      </c>
      <c r="C4" s="3" t="n">
        <v>510</v>
      </c>
      <c r="D4" s="3" t="str">
        <f aca="false">TEXT(C4/86400,"mm:ss")</f>
        <v>08:30</v>
      </c>
      <c r="E4" s="3" t="n">
        <v>49.8</v>
      </c>
      <c r="F4" s="3" t="n">
        <v>50.2</v>
      </c>
      <c r="G4" s="3" t="n">
        <f aca="false">C4*E4/100</f>
        <v>253.98</v>
      </c>
      <c r="H4" s="3" t="n">
        <f aca="false">C4*F4/100</f>
        <v>256.02</v>
      </c>
      <c r="I4" s="3" t="n">
        <f aca="false">H4-G4</f>
        <v>2.03999999999999</v>
      </c>
      <c r="J4" s="3" t="n">
        <f aca="false">C4/8</f>
        <v>63.75</v>
      </c>
      <c r="K4" s="3" t="n">
        <f aca="false">C4/2/60</f>
        <v>4.25</v>
      </c>
    </row>
    <row r="5" customFormat="false" ht="15" hidden="false" customHeight="false" outlineLevel="0" collapsed="false">
      <c r="A5" s="2" t="s">
        <v>88</v>
      </c>
      <c r="B5" s="2" t="s">
        <v>85</v>
      </c>
      <c r="C5" s="3" t="n">
        <v>540</v>
      </c>
      <c r="D5" s="3" t="str">
        <f aca="false">TEXT(C5/86400,"mm:ss")</f>
        <v>09:00</v>
      </c>
      <c r="E5" s="3" t="n">
        <v>49.63</v>
      </c>
      <c r="F5" s="3" t="n">
        <v>50.37</v>
      </c>
      <c r="G5" s="3" t="n">
        <f aca="false">C5*E5/100</f>
        <v>268.002</v>
      </c>
      <c r="H5" s="3" t="n">
        <f aca="false">C5*F5/100</f>
        <v>271.998</v>
      </c>
      <c r="I5" s="3" t="n">
        <f aca="false">H5-G5</f>
        <v>3.99599999999998</v>
      </c>
      <c r="J5" s="3" t="n">
        <f aca="false">C5/8</f>
        <v>67.5</v>
      </c>
      <c r="K5" s="3" t="n">
        <f aca="false">C5/2/60</f>
        <v>4.5</v>
      </c>
    </row>
    <row r="6" customFormat="false" ht="15" hidden="false" customHeight="false" outlineLevel="0" collapsed="false">
      <c r="A6" s="2" t="s">
        <v>89</v>
      </c>
      <c r="B6" s="2" t="s">
        <v>85</v>
      </c>
      <c r="C6" s="3" t="n">
        <v>570</v>
      </c>
      <c r="D6" s="3" t="str">
        <f aca="false">TEXT(C6/86400,"mm:ss")</f>
        <v>09:30</v>
      </c>
      <c r="E6" s="3" t="n">
        <v>49.47</v>
      </c>
      <c r="F6" s="3" t="n">
        <v>50.53</v>
      </c>
      <c r="G6" s="3" t="n">
        <f aca="false">C6*E6/100</f>
        <v>281.979</v>
      </c>
      <c r="H6" s="3" t="n">
        <f aca="false">C6*F6/100</f>
        <v>288.021</v>
      </c>
      <c r="I6" s="3" t="n">
        <f aca="false">H6-G6</f>
        <v>6.04200000000003</v>
      </c>
      <c r="J6" s="3" t="n">
        <f aca="false">C6/8</f>
        <v>71.25</v>
      </c>
      <c r="K6" s="3" t="n">
        <f aca="false">C6/2/60</f>
        <v>4.75</v>
      </c>
    </row>
    <row r="7" customFormat="false" ht="15" hidden="false" customHeight="false" outlineLevel="0" collapsed="false">
      <c r="A7" s="2" t="s">
        <v>57</v>
      </c>
      <c r="B7" s="2" t="s">
        <v>85</v>
      </c>
      <c r="C7" s="3" t="n">
        <v>600</v>
      </c>
      <c r="D7" s="3" t="str">
        <f aca="false">TEXT(C7/86400,"mm:ss")</f>
        <v>10:00</v>
      </c>
      <c r="E7" s="3" t="n">
        <v>49.33</v>
      </c>
      <c r="F7" s="3" t="n">
        <v>50.67</v>
      </c>
      <c r="G7" s="3" t="n">
        <f aca="false">C7*E7/100</f>
        <v>295.98</v>
      </c>
      <c r="H7" s="3" t="n">
        <f aca="false">C7*F7/100</f>
        <v>304.02</v>
      </c>
      <c r="I7" s="3" t="n">
        <f aca="false">H7-G7</f>
        <v>8.03999999999996</v>
      </c>
      <c r="J7" s="3" t="n">
        <f aca="false">C7/8</f>
        <v>75</v>
      </c>
      <c r="K7" s="3" t="n">
        <f aca="false">C7/2/60</f>
        <v>5</v>
      </c>
    </row>
    <row r="8" customFormat="false" ht="15" hidden="false" customHeight="false" outlineLevel="0" collapsed="false">
      <c r="A8" s="2" t="s">
        <v>59</v>
      </c>
      <c r="B8" s="2" t="s">
        <v>85</v>
      </c>
      <c r="C8" s="3" t="n">
        <v>720</v>
      </c>
      <c r="D8" s="3" t="str">
        <f aca="false">TEXT(C8/86400,"mm:ss")</f>
        <v>12:00</v>
      </c>
      <c r="E8" s="3" t="n">
        <v>49.17</v>
      </c>
      <c r="F8" s="3" t="n">
        <v>50.83</v>
      </c>
      <c r="G8" s="3" t="n">
        <f aca="false">C8*E8/100</f>
        <v>354.024</v>
      </c>
      <c r="H8" s="3" t="n">
        <f aca="false">C8*F8/100</f>
        <v>365.976</v>
      </c>
      <c r="I8" s="3" t="n">
        <f aca="false">H8-G8</f>
        <v>11.952</v>
      </c>
      <c r="J8" s="3" t="n">
        <f aca="false">C8/8</f>
        <v>90</v>
      </c>
      <c r="K8" s="3" t="n">
        <f aca="false">C8/2/60</f>
        <v>6</v>
      </c>
    </row>
    <row r="9" customFormat="false" ht="15" hidden="false" customHeight="false" outlineLevel="0" collapsed="false">
      <c r="A9" s="2" t="s">
        <v>90</v>
      </c>
      <c r="B9" s="2" t="s">
        <v>85</v>
      </c>
      <c r="C9" s="3" t="n">
        <v>780</v>
      </c>
      <c r="D9" s="3" t="str">
        <f aca="false">TEXT(C9/86400,"mm:ss")</f>
        <v>13:00</v>
      </c>
      <c r="E9" s="3" t="n">
        <v>49.04</v>
      </c>
      <c r="F9" s="3" t="n">
        <v>50.96</v>
      </c>
      <c r="G9" s="3" t="n">
        <f aca="false">C9*E9/100</f>
        <v>382.512</v>
      </c>
      <c r="H9" s="3" t="n">
        <f aca="false">C9*F9/100</f>
        <v>397.488</v>
      </c>
      <c r="I9" s="3" t="n">
        <f aca="false">H9-G9</f>
        <v>14.9760000000001</v>
      </c>
      <c r="J9" s="3" t="n">
        <f aca="false">C9/8</f>
        <v>97.5</v>
      </c>
      <c r="K9" s="3" t="n">
        <f aca="false">C9/2/60</f>
        <v>6.5</v>
      </c>
    </row>
    <row r="10" customFormat="false" ht="15" hidden="false" customHeight="false" outlineLevel="0" collapsed="false">
      <c r="A10" s="2" t="s">
        <v>84</v>
      </c>
      <c r="B10" s="2" t="s">
        <v>91</v>
      </c>
      <c r="C10" s="3" t="n">
        <v>541.21</v>
      </c>
      <c r="D10" s="3" t="str">
        <f aca="false">TEXT(C10/86400,"mm:ss")</f>
        <v>09:01</v>
      </c>
      <c r="E10" s="3" t="n">
        <v>49.63</v>
      </c>
      <c r="F10" s="3" t="n">
        <v>50.37</v>
      </c>
      <c r="G10" s="3" t="n">
        <f aca="false">C10*E10/100</f>
        <v>268.602523</v>
      </c>
      <c r="H10" s="3" t="n">
        <f aca="false">C10*F10/100</f>
        <v>272.607477</v>
      </c>
      <c r="I10" s="3" t="n">
        <f aca="false">H10-G10</f>
        <v>4.004954</v>
      </c>
      <c r="J10" s="3" t="n">
        <f aca="false">C10/8</f>
        <v>67.65125</v>
      </c>
      <c r="K10" s="3" t="n">
        <f aca="false">C10/2/60</f>
        <v>4.51008333333333</v>
      </c>
    </row>
    <row r="11" customFormat="false" ht="15" hidden="false" customHeight="false" outlineLevel="0" collapsed="false">
      <c r="A11" s="2" t="s">
        <v>86</v>
      </c>
      <c r="B11" s="2" t="s">
        <v>91</v>
      </c>
      <c r="C11" s="3" t="n">
        <v>560</v>
      </c>
      <c r="D11" s="3" t="str">
        <f aca="false">TEXT(C11/86400,"mm:ss")</f>
        <v>09:20</v>
      </c>
      <c r="E11" s="3" t="n">
        <v>49.64</v>
      </c>
      <c r="F11" s="3" t="n">
        <v>50.36</v>
      </c>
      <c r="G11" s="3" t="n">
        <f aca="false">C11*E11/100</f>
        <v>277.984</v>
      </c>
      <c r="H11" s="3" t="n">
        <f aca="false">C11*F11/100</f>
        <v>282.016</v>
      </c>
      <c r="I11" s="3" t="n">
        <f aca="false">H11-G11</f>
        <v>4.03199999999993</v>
      </c>
      <c r="J11" s="3" t="n">
        <f aca="false">C11/8</f>
        <v>70</v>
      </c>
      <c r="K11" s="3" t="n">
        <f aca="false">C11/2/60</f>
        <v>4.66666666666667</v>
      </c>
    </row>
    <row r="12" customFormat="false" ht="15" hidden="false" customHeight="false" outlineLevel="0" collapsed="false">
      <c r="A12" s="2" t="s">
        <v>87</v>
      </c>
      <c r="B12" s="2" t="s">
        <v>91</v>
      </c>
      <c r="C12" s="3" t="n">
        <v>580</v>
      </c>
      <c r="D12" s="3" t="str">
        <f aca="false">TEXT(C12/86400,"mm:ss")</f>
        <v>09:40</v>
      </c>
      <c r="E12" s="3" t="n">
        <v>49.57</v>
      </c>
      <c r="F12" s="3" t="n">
        <v>50.43</v>
      </c>
      <c r="G12" s="3" t="n">
        <f aca="false">C12*E12/100</f>
        <v>287.506</v>
      </c>
      <c r="H12" s="3" t="n">
        <f aca="false">C12*F12/100</f>
        <v>292.494</v>
      </c>
      <c r="I12" s="3" t="n">
        <f aca="false">H12-G12</f>
        <v>4.98800000000006</v>
      </c>
      <c r="J12" s="3" t="n">
        <f aca="false">C12/8</f>
        <v>72.5</v>
      </c>
      <c r="K12" s="3" t="n">
        <f aca="false">C12/2/60</f>
        <v>4.83333333333333</v>
      </c>
    </row>
    <row r="13" customFormat="false" ht="15" hidden="false" customHeight="false" outlineLevel="0" collapsed="false">
      <c r="A13" s="2" t="s">
        <v>88</v>
      </c>
      <c r="B13" s="2" t="s">
        <v>91</v>
      </c>
      <c r="C13" s="3" t="n">
        <v>620</v>
      </c>
      <c r="D13" s="3" t="str">
        <f aca="false">TEXT(C13/86400,"mm:ss")</f>
        <v>10:20</v>
      </c>
      <c r="E13" s="3" t="n">
        <v>49.44</v>
      </c>
      <c r="F13" s="3" t="n">
        <v>50.56</v>
      </c>
      <c r="G13" s="3" t="n">
        <f aca="false">C13*E13/100</f>
        <v>306.528</v>
      </c>
      <c r="H13" s="3" t="n">
        <f aca="false">C13*F13/100</f>
        <v>313.472</v>
      </c>
      <c r="I13" s="3" t="n">
        <f aca="false">H13-G13</f>
        <v>6.94399999999996</v>
      </c>
      <c r="J13" s="3" t="n">
        <f aca="false">C13/8</f>
        <v>77.5</v>
      </c>
      <c r="K13" s="3" t="n">
        <f aca="false">C13/2/60</f>
        <v>5.16666666666667</v>
      </c>
    </row>
    <row r="14" customFormat="false" ht="15" hidden="false" customHeight="false" outlineLevel="0" collapsed="false">
      <c r="A14" s="2" t="s">
        <v>89</v>
      </c>
      <c r="B14" s="2" t="s">
        <v>91</v>
      </c>
      <c r="C14" s="3" t="n">
        <v>660</v>
      </c>
      <c r="D14" s="3" t="str">
        <f aca="false">TEXT(C14/86400,"mm:ss")</f>
        <v>11:00</v>
      </c>
      <c r="E14" s="3" t="n">
        <v>49.32</v>
      </c>
      <c r="F14" s="3" t="n">
        <v>50.68</v>
      </c>
      <c r="G14" s="3" t="n">
        <f aca="false">C14*E14/100</f>
        <v>325.512</v>
      </c>
      <c r="H14" s="3" t="n">
        <f aca="false">C14*F14/100</f>
        <v>334.488</v>
      </c>
      <c r="I14" s="3" t="n">
        <f aca="false">H14-G14</f>
        <v>8.97600000000006</v>
      </c>
      <c r="J14" s="3" t="n">
        <f aca="false">C14/8</f>
        <v>82.5</v>
      </c>
      <c r="K14" s="3" t="n">
        <f aca="false">C14/2/60</f>
        <v>5.5</v>
      </c>
    </row>
    <row r="15" customFormat="false" ht="15" hidden="false" customHeight="false" outlineLevel="0" collapsed="false">
      <c r="A15" s="2" t="s">
        <v>57</v>
      </c>
      <c r="B15" s="2" t="s">
        <v>91</v>
      </c>
      <c r="C15" s="3" t="n">
        <v>720</v>
      </c>
      <c r="D15" s="3" t="str">
        <f aca="false">TEXT(C15/86400,"mm:ss")</f>
        <v>12:00</v>
      </c>
      <c r="E15" s="3" t="n">
        <v>49.17</v>
      </c>
      <c r="F15" s="3" t="n">
        <v>50.83</v>
      </c>
      <c r="G15" s="3" t="n">
        <f aca="false">C15*E15/100</f>
        <v>354.024</v>
      </c>
      <c r="H15" s="3" t="n">
        <f aca="false">C15*F15/100</f>
        <v>365.976</v>
      </c>
      <c r="I15" s="3" t="n">
        <f aca="false">H15-G15</f>
        <v>11.952</v>
      </c>
      <c r="J15" s="3" t="n">
        <f aca="false">C15/8</f>
        <v>90</v>
      </c>
      <c r="K15" s="3" t="n">
        <f aca="false">C15/2/60</f>
        <v>6</v>
      </c>
    </row>
    <row r="16" customFormat="false" ht="15" hidden="false" customHeight="false" outlineLevel="0" collapsed="false">
      <c r="A16" s="2" t="s">
        <v>59</v>
      </c>
      <c r="B16" s="2" t="s">
        <v>91</v>
      </c>
      <c r="C16" s="3" t="n">
        <v>840</v>
      </c>
      <c r="D16" s="3" t="str">
        <f aca="false">TEXT(C16/86400,"mm:ss")</f>
        <v>14:00</v>
      </c>
      <c r="E16" s="3" t="n">
        <v>49.05</v>
      </c>
      <c r="F16" s="3" t="n">
        <v>50.95</v>
      </c>
      <c r="G16" s="3" t="n">
        <f aca="false">C16*E16/100</f>
        <v>412.02</v>
      </c>
      <c r="H16" s="3" t="n">
        <f aca="false">C16*F16/100</f>
        <v>427.98</v>
      </c>
      <c r="I16" s="3" t="n">
        <f aca="false">H16-G16</f>
        <v>15.96</v>
      </c>
      <c r="J16" s="3" t="n">
        <f aca="false">C16/8</f>
        <v>105</v>
      </c>
      <c r="K16" s="3" t="n">
        <f aca="false">C16/2/60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4" t="s">
        <v>92</v>
      </c>
    </row>
    <row r="3" customFormat="false" ht="15" hidden="false" customHeight="false" outlineLevel="0" collapsed="false">
      <c r="A3" s="0" t="s">
        <v>93</v>
      </c>
      <c r="C3" s="0" t="n">
        <v>600</v>
      </c>
    </row>
    <row r="4" customFormat="false" ht="15" hidden="false" customHeight="false" outlineLevel="0" collapsed="false">
      <c r="A4" s="0" t="s">
        <v>94</v>
      </c>
      <c r="C4" s="0" t="s">
        <v>95</v>
      </c>
    </row>
    <row r="6" customFormat="false" ht="15" hidden="false" customHeight="false" outlineLevel="0" collapsed="false">
      <c r="A6" s="0" t="s">
        <v>96</v>
      </c>
    </row>
    <row r="7" customFormat="false" ht="15" hidden="false" customHeight="false" outlineLevel="0" collapsed="false">
      <c r="A7" s="1" t="s">
        <v>97</v>
      </c>
      <c r="B7" s="1" t="s">
        <v>98</v>
      </c>
      <c r="C7" s="1" t="s">
        <v>99</v>
      </c>
      <c r="D7" s="1" t="s">
        <v>100</v>
      </c>
      <c r="E7" s="1" t="s">
        <v>101</v>
      </c>
    </row>
    <row r="8" customFormat="false" ht="15" hidden="false" customHeight="false" outlineLevel="0" collapsed="false">
      <c r="A8" s="0" t="s">
        <v>102</v>
      </c>
      <c r="B8" s="0" t="n">
        <f aca="false">IF(C4="M",C3/8*1.005,C3/8*1.007)</f>
        <v>75.375</v>
      </c>
      <c r="C8" s="0" t="n">
        <f aca="false">B8</f>
        <v>75.375</v>
      </c>
      <c r="D8" s="0" t="n">
        <f aca="false">B8</f>
        <v>75.375</v>
      </c>
    </row>
    <row r="9" customFormat="false" ht="15" hidden="false" customHeight="false" outlineLevel="0" collapsed="false">
      <c r="A9" s="0" t="s">
        <v>103</v>
      </c>
      <c r="B9" s="0" t="n">
        <f aca="false">IF(C4="M",C3/8*1.01,C3/8*1.012)</f>
        <v>75.75</v>
      </c>
      <c r="C9" s="0" t="n">
        <f aca="false">C8+B9</f>
        <v>151.125</v>
      </c>
      <c r="D9" s="0" t="n">
        <f aca="false">B9</f>
        <v>75.75</v>
      </c>
    </row>
    <row r="10" customFormat="false" ht="15" hidden="false" customHeight="false" outlineLevel="0" collapsed="false">
      <c r="A10" s="0" t="s">
        <v>104</v>
      </c>
      <c r="B10" s="0" t="n">
        <f aca="false">IF(C4="M",C3/8*1.015,C3/8*1.017)</f>
        <v>76.125</v>
      </c>
      <c r="C10" s="0" t="n">
        <f aca="false">C9+B10</f>
        <v>227.25</v>
      </c>
      <c r="D10" s="0" t="n">
        <f aca="false">B10</f>
        <v>76.125</v>
      </c>
    </row>
    <row r="11" customFormat="false" ht="15" hidden="false" customHeight="false" outlineLevel="0" collapsed="false">
      <c r="A11" s="0" t="s">
        <v>105</v>
      </c>
      <c r="B11" s="0" t="n">
        <f aca="false">IF(C4="M",C3/8*1.015,C3/8*1.017)</f>
        <v>76.125</v>
      </c>
      <c r="C11" s="0" t="n">
        <f aca="false">C10+B11</f>
        <v>303.375</v>
      </c>
      <c r="D11" s="0" t="n">
        <f aca="false">B11</f>
        <v>76.125</v>
      </c>
      <c r="E11" s="0" t="str">
        <f aca="false">TEXT(C11/86400,"m:ss")</f>
        <v>5:03</v>
      </c>
    </row>
    <row r="12" customFormat="false" ht="15" hidden="false" customHeight="false" outlineLevel="0" collapsed="false">
      <c r="A12" s="0" t="s">
        <v>106</v>
      </c>
      <c r="B12" s="0" t="n">
        <f aca="false">IF(C4="M",C3/8*1.005,C3/8*1.007)</f>
        <v>75.375</v>
      </c>
      <c r="C12" s="0" t="n">
        <f aca="false">C11+B12</f>
        <v>378.75</v>
      </c>
      <c r="D12" s="0" t="n">
        <f aca="false">B12</f>
        <v>75.375</v>
      </c>
    </row>
    <row r="13" customFormat="false" ht="15" hidden="false" customHeight="false" outlineLevel="0" collapsed="false">
      <c r="A13" s="0" t="s">
        <v>107</v>
      </c>
      <c r="B13" s="0" t="n">
        <f aca="false">IF(C4="M",C3/8*0.995,C3/8*0.997)</f>
        <v>74.625</v>
      </c>
      <c r="C13" s="0" t="n">
        <f aca="false">C12+B13</f>
        <v>453.375</v>
      </c>
      <c r="D13" s="0" t="n">
        <f aca="false">B13</f>
        <v>74.625</v>
      </c>
    </row>
    <row r="14" customFormat="false" ht="15" hidden="false" customHeight="false" outlineLevel="0" collapsed="false">
      <c r="A14" s="0" t="s">
        <v>108</v>
      </c>
      <c r="B14" s="0" t="n">
        <f aca="false">IF(C4="M",C3/8*0.985,C3/8*0.987)</f>
        <v>73.875</v>
      </c>
      <c r="C14" s="0" t="n">
        <f aca="false">C13+B14</f>
        <v>527.25</v>
      </c>
      <c r="D14" s="0" t="n">
        <f aca="false">B14</f>
        <v>73.875</v>
      </c>
    </row>
    <row r="15" customFormat="false" ht="15" hidden="false" customHeight="false" outlineLevel="0" collapsed="false">
      <c r="A15" s="0" t="s">
        <v>109</v>
      </c>
      <c r="B15" s="0" t="n">
        <f aca="false">IF(C4="M",C3/8*0.975,C3/8*0.977)</f>
        <v>73.125</v>
      </c>
      <c r="C15" s="0" t="n">
        <f aca="false">C14+B15</f>
        <v>600.375</v>
      </c>
      <c r="D15" s="0" t="n">
        <f aca="false">B15</f>
        <v>73.125</v>
      </c>
      <c r="E15" s="0" t="str">
        <f aca="false">TEXT((C15-C11)/86400,"m:ss")</f>
        <v>4:57</v>
      </c>
    </row>
    <row r="17" customFormat="false" ht="15" hidden="false" customHeight="false" outlineLevel="0" collapsed="false">
      <c r="A17" s="0" t="s">
        <v>110</v>
      </c>
      <c r="B17" s="0" t="n">
        <f aca="false">SUM(B8:B11)</f>
        <v>303.375</v>
      </c>
    </row>
    <row r="18" customFormat="false" ht="15" hidden="false" customHeight="false" outlineLevel="0" collapsed="false">
      <c r="A18" s="0" t="s">
        <v>111</v>
      </c>
      <c r="B18" s="0" t="n">
        <f aca="false">SUM(B12:B15)</f>
        <v>297</v>
      </c>
    </row>
    <row r="19" customFormat="false" ht="15" hidden="false" customHeight="false" outlineLevel="0" collapsed="false">
      <c r="A19" s="0" t="s">
        <v>112</v>
      </c>
      <c r="B19" s="0" t="n">
        <f aca="false">B18-B17</f>
        <v>-6.37499999999994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4" t="s">
        <v>113</v>
      </c>
    </row>
    <row r="3" customFormat="false" ht="15" hidden="false" customHeight="false" outlineLevel="0" collapsed="false">
      <c r="A3" s="5" t="s">
        <v>114</v>
      </c>
      <c r="B3" s="6" t="s">
        <v>28</v>
      </c>
      <c r="C3" s="6" t="s">
        <v>115</v>
      </c>
    </row>
    <row r="4" customFormat="false" ht="15" hidden="false" customHeight="false" outlineLevel="0" collapsed="false">
      <c r="A4" s="6"/>
      <c r="B4" s="6" t="s">
        <v>116</v>
      </c>
      <c r="C4" s="6" t="s">
        <v>117</v>
      </c>
    </row>
    <row r="5" customFormat="false" ht="15" hidden="false" customHeight="false" outlineLevel="0" collapsed="false">
      <c r="A5" s="6"/>
      <c r="B5" s="6"/>
      <c r="C5" s="6"/>
    </row>
    <row r="6" customFormat="false" ht="15" hidden="false" customHeight="false" outlineLevel="0" collapsed="false">
      <c r="A6" s="5" t="s">
        <v>118</v>
      </c>
      <c r="B6" s="6"/>
      <c r="C6" s="6"/>
    </row>
    <row r="7" customFormat="false" ht="15" hidden="false" customHeight="false" outlineLevel="0" collapsed="false">
      <c r="A7" s="6"/>
      <c r="B7" s="6" t="s">
        <v>119</v>
      </c>
      <c r="C7" s="6"/>
    </row>
    <row r="8" customFormat="false" ht="15" hidden="false" customHeight="false" outlineLevel="0" collapsed="false">
      <c r="A8" s="6"/>
      <c r="B8" s="6" t="s">
        <v>120</v>
      </c>
      <c r="C8" s="6"/>
    </row>
    <row r="9" customFormat="false" ht="15" hidden="false" customHeight="false" outlineLevel="0" collapsed="false">
      <c r="A9" s="6"/>
      <c r="B9" s="6" t="s">
        <v>121</v>
      </c>
      <c r="C9" s="6"/>
    </row>
    <row r="10" customFormat="false" ht="15" hidden="false" customHeight="false" outlineLevel="0" collapsed="false">
      <c r="A10" s="6"/>
      <c r="B10" s="6" t="s">
        <v>122</v>
      </c>
      <c r="C10" s="6"/>
    </row>
    <row r="11" customFormat="false" ht="15" hidden="false" customHeight="false" outlineLevel="0" collapsed="false">
      <c r="A11" s="6"/>
      <c r="B11" s="6" t="s">
        <v>123</v>
      </c>
      <c r="C11" s="6"/>
    </row>
    <row r="12" customFormat="false" ht="15" hidden="false" customHeight="false" outlineLevel="0" collapsed="false">
      <c r="A12" s="6"/>
      <c r="B12" s="6" t="s">
        <v>124</v>
      </c>
      <c r="C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2026-03-21T13:23:49Z</dcterms:created>
  <dc:creator>openpyxl</dc:creator>
  <dc:description/>
  <dc:language>en-US</dc:language>
  <cp:lastModifiedBy/>
  <dcterms:modified xsi:type="dcterms:W3CDTF">2026-03-21T13:23:49Z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