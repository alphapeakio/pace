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n 1500m Splits" sheetId="1" state="visible" r:id="rId3"/>
    <sheet name="Women 1500m Splits" sheetId="2" state="visible" r:id="rId4"/>
    <sheet name="Pacing Model" sheetId="3" state="visible" r:id="rId5"/>
    <sheet name="Pace Calculator" sheetId="4" state="visible" r:id="rId6"/>
    <sheet name="Mile Conversion" sheetId="5" state="visible" r:id="rId7"/>
    <sheet name="Sources &amp; Note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<sst xmlns="http://schemas.openxmlformats.org/spreadsheetml/2006/main" count="263" uniqueCount="162">
  <si>
    <t xml:space="preserve">Athlete</t>
  </si>
  <si>
    <t xml:space="preserve">Nationality</t>
  </si>
  <si>
    <t xml:space="preserve">Birth Year</t>
  </si>
  <si>
    <t xml:space="preserve">Date</t>
  </si>
  <si>
    <t xml:space="preserve">Competition</t>
  </si>
  <si>
    <t xml:space="preserve">Round</t>
  </si>
  <si>
    <t xml:space="preserve">Official Time (s)</t>
  </si>
  <si>
    <t xml:space="preserve">Place</t>
  </si>
  <si>
    <t xml:space="preserve">0-400m (s)</t>
  </si>
  <si>
    <t xml:space="preserve">400-800m (s)</t>
  </si>
  <si>
    <t xml:space="preserve">800-1200m (s)</t>
  </si>
  <si>
    <t xml:space="preserve">1200-1500m (s)</t>
  </si>
  <si>
    <t xml:space="preserve">0-800m (s)</t>
  </si>
  <si>
    <t xml:space="preserve">800-1500m (s)</t>
  </si>
  <si>
    <t xml:space="preserve">Differential (s)</t>
  </si>
  <si>
    <t xml:space="preserve">% 0-400</t>
  </si>
  <si>
    <t xml:space="preserve">% 400-800</t>
  </si>
  <si>
    <t xml:space="preserve">% 800-1200</t>
  </si>
  <si>
    <t xml:space="preserve">% 1200-1500</t>
  </si>
  <si>
    <t xml:space="preserve">Record Type</t>
  </si>
  <si>
    <t xml:space="preserve">Source</t>
  </si>
  <si>
    <t xml:space="preserve">El Guerrouj, Hicham</t>
  </si>
  <si>
    <t xml:space="preserve">MAR</t>
  </si>
  <si>
    <t xml:space="preserve">1998-07-14</t>
  </si>
  <si>
    <t xml:space="preserve">Golden Gala Rome</t>
  </si>
  <si>
    <t xml:space="preserve">Final</t>
  </si>
  <si>
    <t xml:space="preserve">WR</t>
  </si>
  <si>
    <t xml:space="preserve">World Athletics/IAAF</t>
  </si>
  <si>
    <t xml:space="preserve">2001-08-24</t>
  </si>
  <si>
    <t xml:space="preserve">Memorial Van Damme Brussels</t>
  </si>
  <si>
    <t xml:space="preserve">WL</t>
  </si>
  <si>
    <t xml:space="preserve">Omega Timing (2001)</t>
  </si>
  <si>
    <t xml:space="preserve">Ingebrigtsen, Jakob</t>
  </si>
  <si>
    <t xml:space="preserve">NOR</t>
  </si>
  <si>
    <t xml:space="preserve">2024-08-06</t>
  </si>
  <si>
    <t xml:space="preserve">Olympic Games Paris</t>
  </si>
  <si>
    <t xml:space="preserve">NR</t>
  </si>
  <si>
    <t xml:space="preserve">Paris 2024 Results Book</t>
  </si>
  <si>
    <t xml:space="preserve">2022-06-15</t>
  </si>
  <si>
    <t xml:space="preserve">Bislett Games Oslo</t>
  </si>
  <si>
    <t xml:space="preserve">Omega Timing (2022)</t>
  </si>
  <si>
    <t xml:space="preserve">Morceli, Noureddine</t>
  </si>
  <si>
    <t xml:space="preserve">ALG</t>
  </si>
  <si>
    <t xml:space="preserve">1995-07-12</t>
  </si>
  <si>
    <t xml:space="preserve">Grand Prix Nice</t>
  </si>
  <si>
    <t xml:space="preserve">IAAF Historical</t>
  </si>
  <si>
    <t xml:space="preserve">Asbel Kiprop</t>
  </si>
  <si>
    <t xml:space="preserve">KEN</t>
  </si>
  <si>
    <t xml:space="preserve">2015-07-17</t>
  </si>
  <si>
    <t xml:space="preserve">Herculis Monaco</t>
  </si>
  <si>
    <t xml:space="preserve">PB</t>
  </si>
  <si>
    <t xml:space="preserve">Omega Timing (2015)</t>
  </si>
  <si>
    <t xml:space="preserve">Lagat, Bernard</t>
  </si>
  <si>
    <t xml:space="preserve">USA</t>
  </si>
  <si>
    <t xml:space="preserve">AR</t>
  </si>
  <si>
    <t xml:space="preserve">Hocker, Cole</t>
  </si>
  <si>
    <t xml:space="preserve">Kerr, Josh</t>
  </si>
  <si>
    <t xml:space="preserve">GBR</t>
  </si>
  <si>
    <t xml:space="preserve">Coe, Sebastian</t>
  </si>
  <si>
    <t xml:space="preserve">1985-07-16</t>
  </si>
  <si>
    <t xml:space="preserve">Butler (2016)</t>
  </si>
  <si>
    <t xml:space="preserve">Centrowitz, Matthew</t>
  </si>
  <si>
    <t xml:space="preserve">2016-08-20</t>
  </si>
  <si>
    <t xml:space="preserve">Olympic Games Rio</t>
  </si>
  <si>
    <t xml:space="preserve">Rio 2016 Results Book</t>
  </si>
  <si>
    <t xml:space="preserve">Kipyegon, Faith</t>
  </si>
  <si>
    <t xml:space="preserve">2023-06-02</t>
  </si>
  <si>
    <t xml:space="preserve">Prefontaine Classic Florence</t>
  </si>
  <si>
    <t xml:space="preserve">World Athletics</t>
  </si>
  <si>
    <t xml:space="preserve">OR</t>
  </si>
  <si>
    <t xml:space="preserve">Qu Yunxia</t>
  </si>
  <si>
    <t xml:space="preserve">CHN</t>
  </si>
  <si>
    <t xml:space="preserve">1993-09-11</t>
  </si>
  <si>
    <t xml:space="preserve">Chinese National Games Beijing</t>
  </si>
  <si>
    <t xml:space="preserve">Dibaba, Genzebe</t>
  </si>
  <si>
    <t xml:space="preserve">ETH</t>
  </si>
  <si>
    <t xml:space="preserve">Masterkova, Svetlana</t>
  </si>
  <si>
    <t xml:space="preserve">RUS</t>
  </si>
  <si>
    <t xml:space="preserve">1996-08-14</t>
  </si>
  <si>
    <t xml:space="preserve">World Championships Zurich</t>
  </si>
  <si>
    <t xml:space="preserve">Hassan, Sifan</t>
  </si>
  <si>
    <t xml:space="preserve">NED</t>
  </si>
  <si>
    <t xml:space="preserve">2019-07-12</t>
  </si>
  <si>
    <t xml:space="preserve">Omega Timing (2019)</t>
  </si>
  <si>
    <t xml:space="preserve">Muir, Laura</t>
  </si>
  <si>
    <t xml:space="preserve">2021-08-06</t>
  </si>
  <si>
    <t xml:space="preserve">Olympic Games Tokyo</t>
  </si>
  <si>
    <t xml:space="preserve">Omega Timing (2021)</t>
  </si>
  <si>
    <t xml:space="preserve">Simpson, Jenny</t>
  </si>
  <si>
    <t xml:space="preserve">2011-08-30</t>
  </si>
  <si>
    <t xml:space="preserve">World Championships Daegu</t>
  </si>
  <si>
    <t xml:space="preserve">IAAF (2011)</t>
  </si>
  <si>
    <t xml:space="preserve">Performance Level</t>
  </si>
  <si>
    <t xml:space="preserve">Gender</t>
  </si>
  <si>
    <t xml:space="preserve">Target Time (s)</t>
  </si>
  <si>
    <t xml:space="preserve">0-400m Target</t>
  </si>
  <si>
    <t xml:space="preserve">400-800m Target</t>
  </si>
  <si>
    <t xml:space="preserve">800-1200m Target</t>
  </si>
  <si>
    <t xml:space="preserve">1200-1500m Target</t>
  </si>
  <si>
    <t xml:space="preserve">0-800m Target</t>
  </si>
  <si>
    <t xml:space="preserve">800-1500m Target</t>
  </si>
  <si>
    <t xml:space="preserve">Differential</t>
  </si>
  <si>
    <t xml:space="preserve">World Record</t>
  </si>
  <si>
    <t xml:space="preserve">Male</t>
  </si>
  <si>
    <t xml:space="preserve">World Class (3:27-3:33)</t>
  </si>
  <si>
    <t xml:space="preserve">Elite (3:33-3:40)</t>
  </si>
  <si>
    <t xml:space="preserve">Sub-Elite (3:40-3:55)</t>
  </si>
  <si>
    <t xml:space="preserve">Collegiate (3:50-4:10)</t>
  </si>
  <si>
    <t xml:space="preserve">HS Varsity (4:10-4:40)</t>
  </si>
  <si>
    <t xml:space="preserve">HS JV / MS (4:40-5:30)</t>
  </si>
  <si>
    <t xml:space="preserve">Recreational</t>
  </si>
  <si>
    <t xml:space="preserve">Female</t>
  </si>
  <si>
    <t xml:space="preserve">World Class (3:50-4:00)</t>
  </si>
  <si>
    <t xml:space="preserve">Elite (4:00-4:12)</t>
  </si>
  <si>
    <t xml:space="preserve">Sub-Elite (4:12-4:35)</t>
  </si>
  <si>
    <t xml:space="preserve">Collegiate (4:30-5:00)</t>
  </si>
  <si>
    <t xml:space="preserve">HS Varsity (5:00-5:40)</t>
  </si>
  <si>
    <t xml:space="preserve">HS JV / MS (5:40-7:00)</t>
  </si>
  <si>
    <t xml:space="preserve">1500m / MILE PACE CALCULATOR</t>
  </si>
  <si>
    <t xml:space="preserve">Enter Target 1500m Time (seconds):</t>
  </si>
  <si>
    <t xml:space="preserve">Gender (M or F):</t>
  </si>
  <si>
    <t xml:space="preserve">M</t>
  </si>
  <si>
    <t xml:space="preserve">Est. Mile Equivalent (s):</t>
  </si>
  <si>
    <t xml:space="preserve">RECOMMENDED SPLITS</t>
  </si>
  <si>
    <t xml:space="preserve">Segment</t>
  </si>
  <si>
    <t xml:space="preserve">Split Time (s)</t>
  </si>
  <si>
    <t xml:space="preserve">Cumulative (s)</t>
  </si>
  <si>
    <t xml:space="preserve">Pace/400m (s)</t>
  </si>
  <si>
    <t xml:space="preserve">% of Total</t>
  </si>
  <si>
    <t xml:space="preserve">0-400m</t>
  </si>
  <si>
    <t xml:space="preserve">400-800m</t>
  </si>
  <si>
    <t xml:space="preserve">800-1200m</t>
  </si>
  <si>
    <t xml:space="preserve">1200-1500m (300m)</t>
  </si>
  <si>
    <t xml:space="preserve">TOTAL</t>
  </si>
  <si>
    <t xml:space="preserve">1st 800m</t>
  </si>
  <si>
    <t xml:space="preserve">Last 700m</t>
  </si>
  <si>
    <t xml:space="preserve">Avg per 400m</t>
  </si>
  <si>
    <t xml:space="preserve">MILE TIME EQUIVALENTS</t>
  </si>
  <si>
    <t xml:space="preserve">1500m Time (s)</t>
  </si>
  <si>
    <t xml:space="preserve">Mile Equivalent (s)</t>
  </si>
  <si>
    <t xml:space="preserve">1600m Equivalent (s)</t>
  </si>
  <si>
    <t xml:space="preserve">Per 400m Pace (s)</t>
  </si>
  <si>
    <t xml:space="preserve">DATA SOURCES &amp; METHODOLOGY</t>
  </si>
  <si>
    <t xml:space="preserve">Primary</t>
  </si>
  <si>
    <t xml:space="preserve">World Athletics Official Results</t>
  </si>
  <si>
    <t xml:space="preserve">400m lap splits from major championships</t>
  </si>
  <si>
    <t xml:space="preserve">Omega Timing / Seiko Timing</t>
  </si>
  <si>
    <t xml:space="preserve">Diamond League split data</t>
  </si>
  <si>
    <t xml:space="preserve">Academic</t>
  </si>
  <si>
    <t xml:space="preserve">Tucker et al. (2006)</t>
  </si>
  <si>
    <t xml:space="preserve">Pacing in world records: An analysis, Med Sci Sports Exerc</t>
  </si>
  <si>
    <t xml:space="preserve">Reardon (2013)</t>
  </si>
  <si>
    <t xml:space="preserve">Optimal pacing strategies, Am. J. Phys.</t>
  </si>
  <si>
    <t xml:space="preserve">NOTES ON 1500m/MILE PACING</t>
  </si>
  <si>
    <t xml:space="preserve">El Guerrouj WR (3:26.00): averaged ~54.93s per 400m lap, last 400m in ~53.03s</t>
  </si>
  <si>
    <t xml:space="preserve">Championship races often have slow opening laps (56-60s) with devastating kicks</t>
  </si>
  <si>
    <t xml:space="preserve">1500m = 3.75 laps; last split is only 300m. Mile = ~4.023 laps (1609.34m)</t>
  </si>
  <si>
    <t xml:space="preserve">1600m (HS mile) is slightly longer than 1500m by 100m, shorter than mile by 9.34m</t>
  </si>
  <si>
    <t xml:space="preserve">Conversion: mile time ≈ 1500m time × 1.0728 (accounts for extra distance + deceleration)</t>
  </si>
  <si>
    <t xml:space="preserve">Negative splitting (2nd half faster) is rare at elite level except in tactical races</t>
  </si>
  <si>
    <t xml:space="preserve">At HS level, even splits ± 2s per 400m is a good target</t>
  </si>
  <si>
    <t xml:space="preserve">The "kick" (final 300m acceleration) separates good from great milers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</si>
</sst>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2F5496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F5496"/>
        <bgColor rgb="FF666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8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5" min="5" style="0" width="32"/>
    <col collapsed="false" customWidth="true" hidden="false" outlineLevel="0" max="6" min="6" style="0" width="8"/>
    <col collapsed="false" customWidth="true" hidden="false" outlineLevel="0" max="7" min="7" style="0" width="14"/>
    <col collapsed="false" customWidth="true" hidden="false" outlineLevel="0" max="8" min="8" style="0" width="6"/>
    <col collapsed="false" customWidth="true" hidden="false" outlineLevel="0" max="14" min="9" style="0" width="10"/>
    <col collapsed="false" customWidth="true" hidden="false" outlineLevel="0" max="15" min="15" style="0" width="12"/>
    <col collapsed="false" customWidth="true" hidden="false" outlineLevel="0" max="19" min="16" style="0" width="9"/>
    <col collapsed="false" customWidth="true" hidden="false" outlineLevel="0" max="20" min="20" style="0" width="10"/>
    <col collapsed="false" customWidth="true" hidden="false" outlineLevel="0" max="21" min="21" style="0" width="30"/>
  </cols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customFormat="false" ht="15" hidden="false" customHeight="false" outlineLevel="0" collapsed="false">
      <c r="A2" s="2" t="s">
        <v>21</v>
      </c>
      <c r="B2" s="2" t="s">
        <v>22</v>
      </c>
      <c r="C2" s="3" t="n">
        <v>1974</v>
      </c>
      <c r="D2" s="3" t="s">
        <v>23</v>
      </c>
      <c r="E2" s="3" t="s">
        <v>24</v>
      </c>
      <c r="F2" s="3" t="s">
        <v>25</v>
      </c>
      <c r="G2" s="3" t="n">
        <v>206</v>
      </c>
      <c r="H2" s="3" t="n">
        <v>1</v>
      </c>
      <c r="I2" s="3" t="n">
        <v>55</v>
      </c>
      <c r="J2" s="3" t="n">
        <v>54.97</v>
      </c>
      <c r="K2" s="3" t="n">
        <v>53</v>
      </c>
      <c r="L2" s="3" t="n">
        <v>53.03</v>
      </c>
      <c r="M2" s="3" t="n">
        <f aca="false">I2+J2</f>
        <v>109.97</v>
      </c>
      <c r="N2" s="3" t="n">
        <f aca="false">K2+L2</f>
        <v>106.03</v>
      </c>
      <c r="O2" s="3" t="n">
        <f aca="false">N2-M2</f>
        <v>-3.94</v>
      </c>
      <c r="P2" s="3" t="n">
        <f aca="false">I2/G2*100</f>
        <v>26.6990291262136</v>
      </c>
      <c r="Q2" s="3" t="n">
        <f aca="false">J2/G2*100</f>
        <v>26.6844660194175</v>
      </c>
      <c r="R2" s="3" t="n">
        <f aca="false">K2/G2*100</f>
        <v>25.7281553398058</v>
      </c>
      <c r="S2" s="3" t="n">
        <f aca="false">L2/G2*100</f>
        <v>25.7427184466019</v>
      </c>
      <c r="T2" s="3" t="s">
        <v>26</v>
      </c>
      <c r="U2" s="3" t="s">
        <v>27</v>
      </c>
    </row>
    <row r="3" customFormat="false" ht="15" hidden="false" customHeight="false" outlineLevel="0" collapsed="false">
      <c r="A3" s="2" t="s">
        <v>21</v>
      </c>
      <c r="B3" s="2" t="s">
        <v>22</v>
      </c>
      <c r="C3" s="3" t="n">
        <v>1974</v>
      </c>
      <c r="D3" s="3" t="s">
        <v>28</v>
      </c>
      <c r="E3" s="3" t="s">
        <v>29</v>
      </c>
      <c r="F3" s="3" t="s">
        <v>25</v>
      </c>
      <c r="G3" s="3" t="n">
        <v>206.12</v>
      </c>
      <c r="H3" s="3" t="n">
        <v>1</v>
      </c>
      <c r="I3" s="3" t="n">
        <v>54.5</v>
      </c>
      <c r="J3" s="3" t="n">
        <v>54.62</v>
      </c>
      <c r="K3" s="3" t="n">
        <v>53.5</v>
      </c>
      <c r="L3" s="3" t="n">
        <v>53.5</v>
      </c>
      <c r="M3" s="3" t="n">
        <f aca="false">I3+J3</f>
        <v>109.12</v>
      </c>
      <c r="N3" s="3" t="n">
        <f aca="false">K3+L3</f>
        <v>107</v>
      </c>
      <c r="O3" s="3" t="n">
        <f aca="false">N3-M3</f>
        <v>-2.12</v>
      </c>
      <c r="P3" s="3" t="n">
        <f aca="false">I3/G3*100</f>
        <v>26.4409082088104</v>
      </c>
      <c r="Q3" s="3" t="n">
        <f aca="false">J3/G3*100</f>
        <v>26.4991267222977</v>
      </c>
      <c r="R3" s="3" t="n">
        <f aca="false">K3/G3*100</f>
        <v>25.9557539297497</v>
      </c>
      <c r="S3" s="3" t="n">
        <f aca="false">L3/G3*100</f>
        <v>25.9557539297497</v>
      </c>
      <c r="T3" s="3" t="s">
        <v>30</v>
      </c>
      <c r="U3" s="3" t="s">
        <v>31</v>
      </c>
    </row>
    <row r="4" customFormat="false" ht="15" hidden="false" customHeight="false" outlineLevel="0" collapsed="false">
      <c r="A4" s="2" t="s">
        <v>32</v>
      </c>
      <c r="B4" s="2" t="s">
        <v>33</v>
      </c>
      <c r="C4" s="3" t="n">
        <v>2000</v>
      </c>
      <c r="D4" s="3" t="s">
        <v>34</v>
      </c>
      <c r="E4" s="3" t="s">
        <v>35</v>
      </c>
      <c r="F4" s="3" t="s">
        <v>25</v>
      </c>
      <c r="G4" s="3" t="n">
        <v>208.32</v>
      </c>
      <c r="H4" s="3" t="n">
        <v>2</v>
      </c>
      <c r="I4" s="3" t="n">
        <v>56.2</v>
      </c>
      <c r="J4" s="3" t="n">
        <v>55.12</v>
      </c>
      <c r="K4" s="3" t="n">
        <v>53.5</v>
      </c>
      <c r="L4" s="3" t="n">
        <v>43.5</v>
      </c>
      <c r="M4" s="3" t="n">
        <f aca="false">I4+J4</f>
        <v>111.32</v>
      </c>
      <c r="N4" s="3" t="n">
        <f aca="false">K4+L4</f>
        <v>97</v>
      </c>
      <c r="O4" s="3" t="n">
        <f aca="false">N4-M4</f>
        <v>-14.32</v>
      </c>
      <c r="P4" s="3" t="n">
        <f aca="false">I4/G4*100</f>
        <v>26.9777265745008</v>
      </c>
      <c r="Q4" s="3" t="n">
        <f aca="false">J4/G4*100</f>
        <v>26.4592933947773</v>
      </c>
      <c r="R4" s="3" t="n">
        <f aca="false">K4/G4*100</f>
        <v>25.681643625192</v>
      </c>
      <c r="S4" s="3" t="n">
        <f aca="false">L4/G4*100</f>
        <v>20.88133640553</v>
      </c>
      <c r="T4" s="3" t="s">
        <v>36</v>
      </c>
      <c r="U4" s="3" t="s">
        <v>37</v>
      </c>
    </row>
    <row r="5" customFormat="false" ht="15" hidden="false" customHeight="false" outlineLevel="0" collapsed="false">
      <c r="A5" s="2" t="s">
        <v>32</v>
      </c>
      <c r="B5" s="2" t="s">
        <v>33</v>
      </c>
      <c r="C5" s="3" t="n">
        <v>2000</v>
      </c>
      <c r="D5" s="3" t="s">
        <v>38</v>
      </c>
      <c r="E5" s="3" t="s">
        <v>39</v>
      </c>
      <c r="F5" s="3" t="s">
        <v>25</v>
      </c>
      <c r="G5" s="3" t="n">
        <v>207.54</v>
      </c>
      <c r="H5" s="3" t="n">
        <v>1</v>
      </c>
      <c r="I5" s="3" t="n">
        <v>55.2</v>
      </c>
      <c r="J5" s="3" t="n">
        <v>54.34</v>
      </c>
      <c r="K5" s="3" t="n">
        <v>54</v>
      </c>
      <c r="L5" s="3" t="n">
        <v>44</v>
      </c>
      <c r="M5" s="3" t="n">
        <f aca="false">I5+J5</f>
        <v>109.54</v>
      </c>
      <c r="N5" s="3" t="n">
        <f aca="false">K5+L5</f>
        <v>98</v>
      </c>
      <c r="O5" s="3" t="n">
        <f aca="false">N5-M5</f>
        <v>-11.54</v>
      </c>
      <c r="P5" s="3" t="n">
        <f aca="false">I5/G5*100</f>
        <v>26.5972824515756</v>
      </c>
      <c r="Q5" s="3" t="n">
        <f aca="false">J5/G5*100</f>
        <v>26.1829045003373</v>
      </c>
      <c r="R5" s="3" t="n">
        <f aca="false">K5/G5*100</f>
        <v>26.01908065915</v>
      </c>
      <c r="S5" s="3" t="n">
        <f aca="false">L5/G5*100</f>
        <v>21.2007323889371</v>
      </c>
      <c r="T5" s="3" t="s">
        <v>36</v>
      </c>
      <c r="U5" s="3" t="s">
        <v>40</v>
      </c>
    </row>
    <row r="6" customFormat="false" ht="15" hidden="false" customHeight="false" outlineLevel="0" collapsed="false">
      <c r="A6" s="2" t="s">
        <v>41</v>
      </c>
      <c r="B6" s="2" t="s">
        <v>42</v>
      </c>
      <c r="C6" s="3" t="n">
        <v>1970</v>
      </c>
      <c r="D6" s="3" t="s">
        <v>43</v>
      </c>
      <c r="E6" s="3" t="s">
        <v>44</v>
      </c>
      <c r="F6" s="3" t="s">
        <v>25</v>
      </c>
      <c r="G6" s="3" t="n">
        <v>207.37</v>
      </c>
      <c r="H6" s="3" t="n">
        <v>1</v>
      </c>
      <c r="I6" s="3" t="n">
        <v>55.3</v>
      </c>
      <c r="J6" s="3" t="n">
        <v>54.57</v>
      </c>
      <c r="K6" s="3" t="n">
        <v>53.5</v>
      </c>
      <c r="L6" s="3" t="n">
        <v>44</v>
      </c>
      <c r="M6" s="3" t="n">
        <f aca="false">I6+J6</f>
        <v>109.87</v>
      </c>
      <c r="N6" s="3" t="n">
        <f aca="false">K6+L6</f>
        <v>97.5</v>
      </c>
      <c r="O6" s="3" t="n">
        <f aca="false">N6-M6</f>
        <v>-12.37</v>
      </c>
      <c r="P6" s="3" t="n">
        <f aca="false">I6/G6*100</f>
        <v>26.6673096397743</v>
      </c>
      <c r="Q6" s="3" t="n">
        <f aca="false">J6/G6*100</f>
        <v>26.3152818633361</v>
      </c>
      <c r="R6" s="3" t="n">
        <f aca="false">K6/G6*100</f>
        <v>25.7992959444471</v>
      </c>
      <c r="S6" s="3" t="n">
        <f aca="false">L6/G6*100</f>
        <v>21.2181125524425</v>
      </c>
      <c r="T6" s="3" t="s">
        <v>26</v>
      </c>
      <c r="U6" s="3" t="s">
        <v>45</v>
      </c>
    </row>
    <row r="7" customFormat="false" ht="15" hidden="false" customHeight="false" outlineLevel="0" collapsed="false">
      <c r="A7" s="2" t="s">
        <v>46</v>
      </c>
      <c r="B7" s="2" t="s">
        <v>47</v>
      </c>
      <c r="C7" s="3" t="n">
        <v>1989</v>
      </c>
      <c r="D7" s="3" t="s">
        <v>48</v>
      </c>
      <c r="E7" s="3" t="s">
        <v>49</v>
      </c>
      <c r="F7" s="3" t="s">
        <v>25</v>
      </c>
      <c r="G7" s="3" t="n">
        <v>206.49</v>
      </c>
      <c r="H7" s="3" t="n">
        <v>1</v>
      </c>
      <c r="I7" s="3" t="n">
        <v>54.8</v>
      </c>
      <c r="J7" s="3" t="n">
        <v>54.69</v>
      </c>
      <c r="K7" s="3" t="n">
        <v>53.5</v>
      </c>
      <c r="L7" s="3" t="n">
        <v>43.5</v>
      </c>
      <c r="M7" s="3" t="n">
        <f aca="false">I7+J7</f>
        <v>109.49</v>
      </c>
      <c r="N7" s="3" t="n">
        <f aca="false">K7+L7</f>
        <v>97</v>
      </c>
      <c r="O7" s="3" t="n">
        <f aca="false">N7-M7</f>
        <v>-12.49</v>
      </c>
      <c r="P7" s="3" t="n">
        <f aca="false">I7/G7*100</f>
        <v>26.5388154390043</v>
      </c>
      <c r="Q7" s="3" t="n">
        <f aca="false">J7/G7*100</f>
        <v>26.485544094145</v>
      </c>
      <c r="R7" s="3" t="n">
        <f aca="false">K7/G7*100</f>
        <v>25.9092449997579</v>
      </c>
      <c r="S7" s="3" t="n">
        <f aca="false">L7/G7*100</f>
        <v>21.0663954670928</v>
      </c>
      <c r="T7" s="3" t="s">
        <v>50</v>
      </c>
      <c r="U7" s="3" t="s">
        <v>51</v>
      </c>
    </row>
    <row r="8" customFormat="false" ht="15" hidden="false" customHeight="false" outlineLevel="0" collapsed="false">
      <c r="A8" s="2" t="s">
        <v>52</v>
      </c>
      <c r="B8" s="2" t="s">
        <v>53</v>
      </c>
      <c r="C8" s="3" t="n">
        <v>1974</v>
      </c>
      <c r="D8" s="3" t="s">
        <v>28</v>
      </c>
      <c r="E8" s="3" t="s">
        <v>29</v>
      </c>
      <c r="F8" s="3" t="s">
        <v>25</v>
      </c>
      <c r="G8" s="3" t="n">
        <v>206.34</v>
      </c>
      <c r="H8" s="3" t="n">
        <v>2</v>
      </c>
      <c r="I8" s="3" t="n">
        <v>54.5</v>
      </c>
      <c r="J8" s="3" t="n">
        <v>54.64</v>
      </c>
      <c r="K8" s="3" t="n">
        <v>53.5</v>
      </c>
      <c r="L8" s="3" t="n">
        <v>43.7</v>
      </c>
      <c r="M8" s="3" t="n">
        <f aca="false">I8+J8</f>
        <v>109.14</v>
      </c>
      <c r="N8" s="3" t="n">
        <f aca="false">K8+L8</f>
        <v>97.2</v>
      </c>
      <c r="O8" s="3" t="n">
        <f aca="false">N8-M8</f>
        <v>-11.94</v>
      </c>
      <c r="P8" s="3" t="n">
        <f aca="false">I8/G8*100</f>
        <v>26.4127168750606</v>
      </c>
      <c r="Q8" s="3" t="n">
        <f aca="false">J8/G8*100</f>
        <v>26.480566056024</v>
      </c>
      <c r="R8" s="3" t="n">
        <f aca="false">K8/G8*100</f>
        <v>25.9280798681787</v>
      </c>
      <c r="S8" s="3" t="n">
        <f aca="false">L8/G8*100</f>
        <v>21.1786372007367</v>
      </c>
      <c r="T8" s="3" t="s">
        <v>54</v>
      </c>
      <c r="U8" s="3" t="s">
        <v>31</v>
      </c>
    </row>
    <row r="9" customFormat="false" ht="15" hidden="false" customHeight="false" outlineLevel="0" collapsed="false">
      <c r="A9" s="2" t="s">
        <v>55</v>
      </c>
      <c r="B9" s="2" t="s">
        <v>53</v>
      </c>
      <c r="C9" s="3" t="n">
        <v>2001</v>
      </c>
      <c r="D9" s="3" t="s">
        <v>34</v>
      </c>
      <c r="E9" s="3" t="s">
        <v>35</v>
      </c>
      <c r="F9" s="3" t="s">
        <v>25</v>
      </c>
      <c r="G9" s="3" t="n">
        <v>207.66</v>
      </c>
      <c r="H9" s="3" t="n">
        <v>1</v>
      </c>
      <c r="I9" s="3" t="n">
        <v>56.2</v>
      </c>
      <c r="J9" s="3" t="n">
        <v>55.12</v>
      </c>
      <c r="K9" s="3" t="n">
        <v>53.34</v>
      </c>
      <c r="L9" s="3" t="n">
        <v>43</v>
      </c>
      <c r="M9" s="3" t="n">
        <f aca="false">I9+J9</f>
        <v>111.32</v>
      </c>
      <c r="N9" s="3" t="n">
        <f aca="false">K9+L9</f>
        <v>96.34</v>
      </c>
      <c r="O9" s="3" t="n">
        <f aca="false">N9-M9</f>
        <v>-14.98</v>
      </c>
      <c r="P9" s="3" t="n">
        <f aca="false">I9/G9*100</f>
        <v>27.0634691322354</v>
      </c>
      <c r="Q9" s="3" t="n">
        <f aca="false">J9/G9*100</f>
        <v>26.5433882307618</v>
      </c>
      <c r="R9" s="3" t="n">
        <f aca="false">K9/G9*100</f>
        <v>25.686217856111</v>
      </c>
      <c r="S9" s="3" t="n">
        <f aca="false">L9/G9*100</f>
        <v>20.7069247808918</v>
      </c>
      <c r="T9" s="3" t="s">
        <v>54</v>
      </c>
      <c r="U9" s="3" t="s">
        <v>37</v>
      </c>
    </row>
    <row r="10" customFormat="false" ht="15" hidden="false" customHeight="false" outlineLevel="0" collapsed="false">
      <c r="A10" s="2" t="s">
        <v>56</v>
      </c>
      <c r="B10" s="2" t="s">
        <v>57</v>
      </c>
      <c r="C10" s="3" t="n">
        <v>1997</v>
      </c>
      <c r="D10" s="3" t="s">
        <v>34</v>
      </c>
      <c r="E10" s="3" t="s">
        <v>35</v>
      </c>
      <c r="F10" s="3" t="s">
        <v>25</v>
      </c>
      <c r="G10" s="3" t="n">
        <v>207.44</v>
      </c>
      <c r="H10" s="3" t="n">
        <v>3</v>
      </c>
      <c r="I10" s="3" t="n">
        <v>56.2</v>
      </c>
      <c r="J10" s="3" t="n">
        <v>55.12</v>
      </c>
      <c r="K10" s="3" t="n">
        <v>53.32</v>
      </c>
      <c r="L10" s="3" t="n">
        <v>42.8</v>
      </c>
      <c r="M10" s="3" t="n">
        <f aca="false">I10+J10</f>
        <v>111.32</v>
      </c>
      <c r="N10" s="3" t="n">
        <f aca="false">K10+L10</f>
        <v>96.12</v>
      </c>
      <c r="O10" s="3" t="n">
        <f aca="false">N10-M10</f>
        <v>-15.2</v>
      </c>
      <c r="P10" s="3" t="n">
        <f aca="false">I10/G10*100</f>
        <v>27.0921712302353</v>
      </c>
      <c r="Q10" s="3" t="n">
        <f aca="false">J10/G10*100</f>
        <v>26.5715387581951</v>
      </c>
      <c r="R10" s="3" t="n">
        <f aca="false">K10/G10*100</f>
        <v>25.7038179714616</v>
      </c>
      <c r="S10" s="3" t="n">
        <f aca="false">L10/G10*100</f>
        <v>20.632472040108</v>
      </c>
      <c r="T10" s="3" t="s">
        <v>36</v>
      </c>
      <c r="U10" s="3" t="s">
        <v>37</v>
      </c>
    </row>
    <row r="11" customFormat="false" ht="15" hidden="false" customHeight="false" outlineLevel="0" collapsed="false">
      <c r="A11" s="2" t="s">
        <v>58</v>
      </c>
      <c r="B11" s="2" t="s">
        <v>57</v>
      </c>
      <c r="C11" s="3" t="n">
        <v>1956</v>
      </c>
      <c r="D11" s="3" t="s">
        <v>59</v>
      </c>
      <c r="E11" s="3" t="s">
        <v>44</v>
      </c>
      <c r="F11" s="3" t="s">
        <v>25</v>
      </c>
      <c r="G11" s="3" t="n">
        <v>209.08</v>
      </c>
      <c r="H11" s="3" t="n">
        <v>1</v>
      </c>
      <c r="I11" s="3" t="n">
        <v>56</v>
      </c>
      <c r="J11" s="3" t="n">
        <v>55.08</v>
      </c>
      <c r="K11" s="3" t="n">
        <v>54</v>
      </c>
      <c r="L11" s="3" t="n">
        <v>44</v>
      </c>
      <c r="M11" s="3" t="n">
        <f aca="false">I11+J11</f>
        <v>111.08</v>
      </c>
      <c r="N11" s="3" t="n">
        <f aca="false">K11+L11</f>
        <v>98</v>
      </c>
      <c r="O11" s="3" t="n">
        <f aca="false">N11-M11</f>
        <v>-13.08</v>
      </c>
      <c r="P11" s="3" t="n">
        <f aca="false">I11/G11*100</f>
        <v>26.7840061220585</v>
      </c>
      <c r="Q11" s="3" t="n">
        <f aca="false">J11/G11*100</f>
        <v>26.343983164339</v>
      </c>
      <c r="R11" s="3" t="n">
        <f aca="false">K11/G11*100</f>
        <v>25.8274344748422</v>
      </c>
      <c r="S11" s="3" t="n">
        <f aca="false">L11/G11*100</f>
        <v>21.0445762387603</v>
      </c>
      <c r="T11" s="3" t="s">
        <v>50</v>
      </c>
      <c r="U11" s="3" t="s">
        <v>60</v>
      </c>
    </row>
    <row r="12" customFormat="false" ht="15" hidden="false" customHeight="false" outlineLevel="0" collapsed="false">
      <c r="A12" s="2" t="s">
        <v>61</v>
      </c>
      <c r="B12" s="2" t="s">
        <v>53</v>
      </c>
      <c r="C12" s="3" t="n">
        <v>1989</v>
      </c>
      <c r="D12" s="3" t="s">
        <v>62</v>
      </c>
      <c r="E12" s="3" t="s">
        <v>63</v>
      </c>
      <c r="F12" s="3" t="s">
        <v>25</v>
      </c>
      <c r="G12" s="3" t="n">
        <v>212.67</v>
      </c>
      <c r="H12" s="3" t="n">
        <v>1</v>
      </c>
      <c r="I12" s="3" t="n">
        <v>60</v>
      </c>
      <c r="J12" s="3" t="n">
        <v>57.67</v>
      </c>
      <c r="K12" s="3" t="n">
        <v>54</v>
      </c>
      <c r="L12" s="3" t="n">
        <v>41</v>
      </c>
      <c r="M12" s="3" t="n">
        <f aca="false">I12+J12</f>
        <v>117.67</v>
      </c>
      <c r="N12" s="3" t="n">
        <f aca="false">K12+L12</f>
        <v>95</v>
      </c>
      <c r="O12" s="3" t="n">
        <f aca="false">N12-M12</f>
        <v>-22.67</v>
      </c>
      <c r="P12" s="3" t="n">
        <f aca="false">I12/G12*100</f>
        <v>28.2127239384963</v>
      </c>
      <c r="Q12" s="3" t="n">
        <f aca="false">J12/G12*100</f>
        <v>27.1171298255513</v>
      </c>
      <c r="R12" s="3" t="n">
        <f aca="false">K12/G12*100</f>
        <v>25.3914515446466</v>
      </c>
      <c r="S12" s="3" t="n">
        <f aca="false">L12/G12*100</f>
        <v>19.2786946913058</v>
      </c>
      <c r="T12" s="3" t="s">
        <v>36</v>
      </c>
      <c r="U12" s="3" t="s">
        <v>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8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5" min="5" style="0" width="32"/>
    <col collapsed="false" customWidth="true" hidden="false" outlineLevel="0" max="6" min="6" style="0" width="8"/>
    <col collapsed="false" customWidth="true" hidden="false" outlineLevel="0" max="7" min="7" style="0" width="14"/>
    <col collapsed="false" customWidth="true" hidden="false" outlineLevel="0" max="8" min="8" style="0" width="6"/>
    <col collapsed="false" customWidth="true" hidden="false" outlineLevel="0" max="14" min="9" style="0" width="10"/>
    <col collapsed="false" customWidth="true" hidden="false" outlineLevel="0" max="15" min="15" style="0" width="12"/>
    <col collapsed="false" customWidth="true" hidden="false" outlineLevel="0" max="19" min="16" style="0" width="9"/>
    <col collapsed="false" customWidth="true" hidden="false" outlineLevel="0" max="20" min="20" style="0" width="10"/>
    <col collapsed="false" customWidth="true" hidden="false" outlineLevel="0" max="21" min="21" style="0" width="30"/>
  </cols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customFormat="false" ht="15" hidden="false" customHeight="false" outlineLevel="0" collapsed="false">
      <c r="A2" s="2" t="s">
        <v>65</v>
      </c>
      <c r="B2" s="2" t="s">
        <v>47</v>
      </c>
      <c r="C2" s="3" t="n">
        <v>1994</v>
      </c>
      <c r="D2" s="3" t="s">
        <v>66</v>
      </c>
      <c r="E2" s="3" t="s">
        <v>67</v>
      </c>
      <c r="F2" s="3" t="s">
        <v>25</v>
      </c>
      <c r="G2" s="3" t="n">
        <v>229.04</v>
      </c>
      <c r="H2" s="3" t="n">
        <v>1</v>
      </c>
      <c r="I2" s="3" t="n">
        <v>60.9</v>
      </c>
      <c r="J2" s="3" t="n">
        <v>58.14</v>
      </c>
      <c r="K2" s="3" t="n">
        <v>57</v>
      </c>
      <c r="L2" s="3" t="n">
        <v>53</v>
      </c>
      <c r="M2" s="3" t="n">
        <f aca="false">I2+J2</f>
        <v>119.04</v>
      </c>
      <c r="N2" s="3" t="n">
        <f aca="false">K2+L2</f>
        <v>110</v>
      </c>
      <c r="O2" s="3" t="n">
        <f aca="false">N2-M2</f>
        <v>-9.03999999999999</v>
      </c>
      <c r="P2" s="3" t="n">
        <f aca="false">I2/G2*100</f>
        <v>26.5892420537897</v>
      </c>
      <c r="Q2" s="3" t="n">
        <f aca="false">J2/G2*100</f>
        <v>25.3842123646525</v>
      </c>
      <c r="R2" s="3" t="n">
        <f aca="false">K2/G2*100</f>
        <v>24.8864827104436</v>
      </c>
      <c r="S2" s="3" t="n">
        <f aca="false">L2/G2*100</f>
        <v>23.1400628711142</v>
      </c>
      <c r="T2" s="3" t="s">
        <v>26</v>
      </c>
      <c r="U2" s="3" t="s">
        <v>68</v>
      </c>
    </row>
    <row r="3" customFormat="false" ht="15" hidden="false" customHeight="false" outlineLevel="0" collapsed="false">
      <c r="A3" s="2" t="s">
        <v>65</v>
      </c>
      <c r="B3" s="2" t="s">
        <v>47</v>
      </c>
      <c r="C3" s="3" t="n">
        <v>1994</v>
      </c>
      <c r="D3" s="3" t="s">
        <v>34</v>
      </c>
      <c r="E3" s="3" t="s">
        <v>35</v>
      </c>
      <c r="F3" s="3" t="s">
        <v>25</v>
      </c>
      <c r="G3" s="3" t="n">
        <v>231.95</v>
      </c>
      <c r="H3" s="3" t="n">
        <v>1</v>
      </c>
      <c r="I3" s="3" t="n">
        <v>61.5</v>
      </c>
      <c r="J3" s="3" t="n">
        <v>59</v>
      </c>
      <c r="K3" s="3" t="n">
        <v>57.45</v>
      </c>
      <c r="L3" s="3" t="n">
        <v>54</v>
      </c>
      <c r="M3" s="3" t="n">
        <f aca="false">I3+J3</f>
        <v>120.5</v>
      </c>
      <c r="N3" s="3" t="n">
        <f aca="false">K3+L3</f>
        <v>111.45</v>
      </c>
      <c r="O3" s="3" t="n">
        <f aca="false">N3-M3</f>
        <v>-9.05</v>
      </c>
      <c r="P3" s="3" t="n">
        <f aca="false">I3/G3*100</f>
        <v>26.5143349859884</v>
      </c>
      <c r="Q3" s="3" t="n">
        <f aca="false">J3/G3*100</f>
        <v>25.436516490623</v>
      </c>
      <c r="R3" s="3" t="n">
        <f aca="false">K3/G3*100</f>
        <v>24.7682690234964</v>
      </c>
      <c r="S3" s="3" t="n">
        <f aca="false">L3/G3*100</f>
        <v>23.2808794998922</v>
      </c>
      <c r="T3" s="3" t="s">
        <v>69</v>
      </c>
      <c r="U3" s="3" t="s">
        <v>37</v>
      </c>
    </row>
    <row r="4" customFormat="false" ht="15" hidden="false" customHeight="false" outlineLevel="0" collapsed="false">
      <c r="A4" s="2" t="s">
        <v>70</v>
      </c>
      <c r="B4" s="2" t="s">
        <v>71</v>
      </c>
      <c r="C4" s="3" t="n">
        <v>1972</v>
      </c>
      <c r="D4" s="3" t="s">
        <v>72</v>
      </c>
      <c r="E4" s="3" t="s">
        <v>73</v>
      </c>
      <c r="F4" s="3" t="s">
        <v>25</v>
      </c>
      <c r="G4" s="3" t="n">
        <v>230.46</v>
      </c>
      <c r="H4" s="3" t="n">
        <v>1</v>
      </c>
      <c r="I4" s="3" t="n">
        <v>61</v>
      </c>
      <c r="J4" s="3" t="n">
        <v>58.46</v>
      </c>
      <c r="K4" s="3" t="n">
        <v>57</v>
      </c>
      <c r="L4" s="3" t="n">
        <v>54</v>
      </c>
      <c r="M4" s="3" t="n">
        <f aca="false">I4+J4</f>
        <v>119.46</v>
      </c>
      <c r="N4" s="3" t="n">
        <f aca="false">K4+L4</f>
        <v>111</v>
      </c>
      <c r="O4" s="3" t="n">
        <f aca="false">N4-M4</f>
        <v>-8.46000000000001</v>
      </c>
      <c r="P4" s="3" t="n">
        <f aca="false">I4/G4*100</f>
        <v>26.46880152738</v>
      </c>
      <c r="Q4" s="3" t="n">
        <f aca="false">J4/G4*100</f>
        <v>25.3666579883711</v>
      </c>
      <c r="R4" s="3" t="n">
        <f aca="false">K4/G4*100</f>
        <v>24.7331424108305</v>
      </c>
      <c r="S4" s="3" t="n">
        <f aca="false">L4/G4*100</f>
        <v>23.4313980734184</v>
      </c>
      <c r="T4" s="3" t="s">
        <v>26</v>
      </c>
      <c r="U4" s="3" t="s">
        <v>45</v>
      </c>
    </row>
    <row r="5" customFormat="false" ht="15" hidden="false" customHeight="false" outlineLevel="0" collapsed="false">
      <c r="A5" s="2" t="s">
        <v>74</v>
      </c>
      <c r="B5" s="2" t="s">
        <v>75</v>
      </c>
      <c r="C5" s="3" t="n">
        <v>1991</v>
      </c>
      <c r="D5" s="3" t="s">
        <v>48</v>
      </c>
      <c r="E5" s="3" t="s">
        <v>49</v>
      </c>
      <c r="F5" s="3" t="s">
        <v>25</v>
      </c>
      <c r="G5" s="3" t="n">
        <v>230.07</v>
      </c>
      <c r="H5" s="3" t="n">
        <v>1</v>
      </c>
      <c r="I5" s="3" t="n">
        <v>60.5</v>
      </c>
      <c r="J5" s="3" t="n">
        <v>58.57</v>
      </c>
      <c r="K5" s="3" t="n">
        <v>57</v>
      </c>
      <c r="L5" s="3" t="n">
        <v>54</v>
      </c>
      <c r="M5" s="3" t="n">
        <f aca="false">I5+J5</f>
        <v>119.07</v>
      </c>
      <c r="N5" s="3" t="n">
        <f aca="false">K5+L5</f>
        <v>111</v>
      </c>
      <c r="O5" s="3" t="n">
        <f aca="false">N5-M5</f>
        <v>-8.06999999999999</v>
      </c>
      <c r="P5" s="3" t="n">
        <f aca="false">I5/G5*100</f>
        <v>26.2963445907767</v>
      </c>
      <c r="Q5" s="3" t="n">
        <f aca="false">J5/G5*100</f>
        <v>25.4574694658148</v>
      </c>
      <c r="R5" s="3" t="n">
        <f aca="false">K5/G5*100</f>
        <v>24.775068457426</v>
      </c>
      <c r="S5" s="3" t="n">
        <f aca="false">L5/G5*100</f>
        <v>23.4711174859825</v>
      </c>
      <c r="T5" s="3" t="s">
        <v>26</v>
      </c>
      <c r="U5" s="3" t="s">
        <v>51</v>
      </c>
    </row>
    <row r="6" customFormat="false" ht="15" hidden="false" customHeight="false" outlineLevel="0" collapsed="false">
      <c r="A6" s="2" t="s">
        <v>76</v>
      </c>
      <c r="B6" s="2" t="s">
        <v>77</v>
      </c>
      <c r="C6" s="3" t="n">
        <v>1968</v>
      </c>
      <c r="D6" s="3" t="s">
        <v>78</v>
      </c>
      <c r="E6" s="3" t="s">
        <v>79</v>
      </c>
      <c r="F6" s="3" t="s">
        <v>25</v>
      </c>
      <c r="G6" s="3" t="n">
        <v>232.06</v>
      </c>
      <c r="H6" s="3" t="n">
        <v>1</v>
      </c>
      <c r="I6" s="3" t="n">
        <v>61.5</v>
      </c>
      <c r="J6" s="3" t="n">
        <v>58.56</v>
      </c>
      <c r="K6" s="3" t="n">
        <v>58</v>
      </c>
      <c r="L6" s="3" t="n">
        <v>54</v>
      </c>
      <c r="M6" s="3" t="n">
        <f aca="false">I6+J6</f>
        <v>120.06</v>
      </c>
      <c r="N6" s="3" t="n">
        <f aca="false">K6+L6</f>
        <v>112</v>
      </c>
      <c r="O6" s="3" t="n">
        <f aca="false">N6-M6</f>
        <v>-8.06</v>
      </c>
      <c r="P6" s="3" t="n">
        <f aca="false">I6/G6*100</f>
        <v>26.5017667844523</v>
      </c>
      <c r="Q6" s="3" t="n">
        <f aca="false">J6/G6*100</f>
        <v>25.2348530552443</v>
      </c>
      <c r="R6" s="3" t="n">
        <f aca="false">K6/G6*100</f>
        <v>24.9935361544428</v>
      </c>
      <c r="S6" s="3" t="n">
        <f aca="false">L6/G6*100</f>
        <v>23.2698440058606</v>
      </c>
      <c r="T6" s="3" t="s">
        <v>50</v>
      </c>
      <c r="U6" s="3" t="s">
        <v>45</v>
      </c>
    </row>
    <row r="7" customFormat="false" ht="15" hidden="false" customHeight="false" outlineLevel="0" collapsed="false">
      <c r="A7" s="2" t="s">
        <v>80</v>
      </c>
      <c r="B7" s="2" t="s">
        <v>81</v>
      </c>
      <c r="C7" s="3" t="n">
        <v>1993</v>
      </c>
      <c r="D7" s="3" t="s">
        <v>82</v>
      </c>
      <c r="E7" s="3" t="s">
        <v>49</v>
      </c>
      <c r="F7" s="3" t="s">
        <v>25</v>
      </c>
      <c r="G7" s="3" t="n">
        <v>232.33</v>
      </c>
      <c r="H7" s="3" t="n">
        <v>1</v>
      </c>
      <c r="I7" s="3" t="n">
        <v>62</v>
      </c>
      <c r="J7" s="3" t="n">
        <v>58.33</v>
      </c>
      <c r="K7" s="3" t="n">
        <v>58</v>
      </c>
      <c r="L7" s="3" t="n">
        <v>54</v>
      </c>
      <c r="M7" s="3" t="n">
        <f aca="false">I7+J7</f>
        <v>120.33</v>
      </c>
      <c r="N7" s="3" t="n">
        <f aca="false">K7+L7</f>
        <v>112</v>
      </c>
      <c r="O7" s="3" t="n">
        <f aca="false">N7-M7</f>
        <v>-8.33</v>
      </c>
      <c r="P7" s="3" t="n">
        <f aca="false">I7/G7*100</f>
        <v>26.686179141738</v>
      </c>
      <c r="Q7" s="3" t="n">
        <f aca="false">J7/G7*100</f>
        <v>25.1065295054448</v>
      </c>
      <c r="R7" s="3" t="n">
        <f aca="false">K7/G7*100</f>
        <v>24.9644901648517</v>
      </c>
      <c r="S7" s="3" t="n">
        <f aca="false">L7/G7*100</f>
        <v>23.2428011879654</v>
      </c>
      <c r="T7" s="3" t="s">
        <v>50</v>
      </c>
      <c r="U7" s="3" t="s">
        <v>83</v>
      </c>
    </row>
    <row r="8" customFormat="false" ht="15" hidden="false" customHeight="false" outlineLevel="0" collapsed="false">
      <c r="A8" s="2" t="s">
        <v>84</v>
      </c>
      <c r="B8" s="2" t="s">
        <v>57</v>
      </c>
      <c r="C8" s="3" t="n">
        <v>1993</v>
      </c>
      <c r="D8" s="3" t="s">
        <v>85</v>
      </c>
      <c r="E8" s="3" t="s">
        <v>86</v>
      </c>
      <c r="F8" s="3" t="s">
        <v>25</v>
      </c>
      <c r="G8" s="3" t="n">
        <v>234.25</v>
      </c>
      <c r="H8" s="3" t="n">
        <v>2</v>
      </c>
      <c r="I8" s="3" t="n">
        <v>63.5</v>
      </c>
      <c r="J8" s="3" t="n">
        <v>59.75</v>
      </c>
      <c r="K8" s="3" t="n">
        <v>57</v>
      </c>
      <c r="L8" s="3" t="n">
        <v>54</v>
      </c>
      <c r="M8" s="3" t="n">
        <f aca="false">I8+J8</f>
        <v>123.25</v>
      </c>
      <c r="N8" s="3" t="n">
        <f aca="false">K8+L8</f>
        <v>111</v>
      </c>
      <c r="O8" s="3" t="n">
        <f aca="false">N8-M8</f>
        <v>-12.25</v>
      </c>
      <c r="P8" s="3" t="n">
        <f aca="false">I8/G8*100</f>
        <v>27.1077908217716</v>
      </c>
      <c r="Q8" s="3" t="n">
        <f aca="false">J8/G8*100</f>
        <v>25.5069370330843</v>
      </c>
      <c r="R8" s="3" t="n">
        <f aca="false">K8/G8*100</f>
        <v>24.332977588047</v>
      </c>
      <c r="S8" s="3" t="n">
        <f aca="false">L8/G8*100</f>
        <v>23.0522945570971</v>
      </c>
      <c r="T8" s="3" t="s">
        <v>36</v>
      </c>
      <c r="U8" s="3" t="s">
        <v>87</v>
      </c>
    </row>
    <row r="9" customFormat="false" ht="15" hidden="false" customHeight="false" outlineLevel="0" collapsed="false">
      <c r="A9" s="2" t="s">
        <v>88</v>
      </c>
      <c r="B9" s="2" t="s">
        <v>53</v>
      </c>
      <c r="C9" s="3" t="n">
        <v>1986</v>
      </c>
      <c r="D9" s="3" t="s">
        <v>89</v>
      </c>
      <c r="E9" s="3" t="s">
        <v>90</v>
      </c>
      <c r="F9" s="3" t="s">
        <v>25</v>
      </c>
      <c r="G9" s="3" t="n">
        <v>234.23</v>
      </c>
      <c r="H9" s="3" t="n">
        <v>1</v>
      </c>
      <c r="I9" s="3" t="n">
        <v>65</v>
      </c>
      <c r="J9" s="3" t="n">
        <v>58.23</v>
      </c>
      <c r="K9" s="3" t="n">
        <v>57</v>
      </c>
      <c r="L9" s="3" t="n">
        <v>54</v>
      </c>
      <c r="M9" s="3" t="n">
        <f aca="false">I9+J9</f>
        <v>123.23</v>
      </c>
      <c r="N9" s="3" t="n">
        <f aca="false">K9+L9</f>
        <v>111</v>
      </c>
      <c r="O9" s="3" t="n">
        <f aca="false">N9-M9</f>
        <v>-12.23</v>
      </c>
      <c r="P9" s="3" t="n">
        <f aca="false">I9/G9*100</f>
        <v>27.7505016436836</v>
      </c>
      <c r="Q9" s="3" t="n">
        <f aca="false">J9/G9*100</f>
        <v>24.8601801647953</v>
      </c>
      <c r="R9" s="3" t="n">
        <f aca="false">K9/G9*100</f>
        <v>24.3350552875379</v>
      </c>
      <c r="S9" s="3" t="n">
        <f aca="false">L9/G9*100</f>
        <v>23.0542629039833</v>
      </c>
      <c r="T9" s="3" t="s">
        <v>50</v>
      </c>
      <c r="U9" s="3" t="s">
        <v>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0"/>
    <col collapsed="false" customWidth="true" hidden="false" outlineLevel="0" max="3" min="3" style="0" width="14"/>
    <col collapsed="false" customWidth="true" hidden="false" outlineLevel="0" max="7" min="4" style="0" width="10"/>
    <col collapsed="false" customWidth="true" hidden="false" outlineLevel="0" max="14" min="8" style="0" width="12"/>
  </cols>
  <sheetData>
    <row r="1" customFormat="false" ht="23.85" hidden="false" customHeight="false" outlineLevel="0" collapsed="false">
      <c r="A1" s="1" t="s">
        <v>92</v>
      </c>
      <c r="B1" s="1" t="s">
        <v>93</v>
      </c>
      <c r="C1" s="1" t="s">
        <v>94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95</v>
      </c>
      <c r="I1" s="1" t="s">
        <v>96</v>
      </c>
      <c r="J1" s="1" t="s">
        <v>97</v>
      </c>
      <c r="K1" s="1" t="s">
        <v>98</v>
      </c>
      <c r="L1" s="1" t="s">
        <v>99</v>
      </c>
      <c r="M1" s="1" t="s">
        <v>100</v>
      </c>
      <c r="N1" s="1" t="s">
        <v>101</v>
      </c>
    </row>
    <row r="2" customFormat="false" ht="15" hidden="false" customHeight="false" outlineLevel="0" collapsed="false">
      <c r="A2" s="2" t="s">
        <v>102</v>
      </c>
      <c r="B2" s="2" t="s">
        <v>103</v>
      </c>
      <c r="C2" s="3" t="n">
        <v>206</v>
      </c>
      <c r="D2" s="3" t="n">
        <v>26.7</v>
      </c>
      <c r="E2" s="3" t="n">
        <v>26.69</v>
      </c>
      <c r="F2" s="3" t="n">
        <v>25.73</v>
      </c>
      <c r="G2" s="3" t="n">
        <v>25.74</v>
      </c>
      <c r="H2" s="3" t="n">
        <f aca="false">C2*D2/100</f>
        <v>55.002</v>
      </c>
      <c r="I2" s="3" t="n">
        <f aca="false">C2*E2/100</f>
        <v>54.9814</v>
      </c>
      <c r="J2" s="3" t="n">
        <f aca="false">C2*F2/100</f>
        <v>53.0038</v>
      </c>
      <c r="K2" s="3" t="n">
        <f aca="false">C2*G2/100</f>
        <v>53.0244</v>
      </c>
      <c r="L2" s="3" t="n">
        <f aca="false">H2+I2</f>
        <v>109.9834</v>
      </c>
      <c r="M2" s="3" t="n">
        <f aca="false">J2+K2</f>
        <v>106.0282</v>
      </c>
      <c r="N2" s="3" t="n">
        <f aca="false">M2-L2</f>
        <v>-3.95519999999999</v>
      </c>
    </row>
    <row r="3" customFormat="false" ht="15" hidden="false" customHeight="false" outlineLevel="0" collapsed="false">
      <c r="A3" s="2" t="s">
        <v>104</v>
      </c>
      <c r="B3" s="2" t="s">
        <v>103</v>
      </c>
      <c r="C3" s="3" t="n">
        <v>210</v>
      </c>
      <c r="D3" s="3" t="n">
        <v>26.67</v>
      </c>
      <c r="E3" s="3" t="n">
        <v>26.43</v>
      </c>
      <c r="F3" s="3" t="n">
        <v>25.71</v>
      </c>
      <c r="G3" s="3" t="n">
        <v>25.48</v>
      </c>
      <c r="H3" s="3" t="n">
        <f aca="false">C3*D3/100</f>
        <v>56.007</v>
      </c>
      <c r="I3" s="3" t="n">
        <f aca="false">C3*E3/100</f>
        <v>55.503</v>
      </c>
      <c r="J3" s="3" t="n">
        <f aca="false">C3*F3/100</f>
        <v>53.991</v>
      </c>
      <c r="K3" s="3" t="n">
        <f aca="false">C3*G3/100</f>
        <v>53.508</v>
      </c>
      <c r="L3" s="3" t="n">
        <f aca="false">H3+I3</f>
        <v>111.51</v>
      </c>
      <c r="M3" s="3" t="n">
        <f aca="false">J3+K3</f>
        <v>107.499</v>
      </c>
      <c r="N3" s="3" t="n">
        <f aca="false">M3-L3</f>
        <v>-4.011</v>
      </c>
    </row>
    <row r="4" customFormat="false" ht="15" hidden="false" customHeight="false" outlineLevel="0" collapsed="false">
      <c r="A4" s="2" t="s">
        <v>105</v>
      </c>
      <c r="B4" s="2" t="s">
        <v>103</v>
      </c>
      <c r="C4" s="3" t="n">
        <v>217</v>
      </c>
      <c r="D4" s="3" t="n">
        <v>26.73</v>
      </c>
      <c r="E4" s="3" t="n">
        <v>26.36</v>
      </c>
      <c r="F4" s="3" t="n">
        <v>25.58</v>
      </c>
      <c r="G4" s="3" t="n">
        <v>25.35</v>
      </c>
      <c r="H4" s="3" t="n">
        <f aca="false">C4*D4/100</f>
        <v>58.0041</v>
      </c>
      <c r="I4" s="3" t="n">
        <f aca="false">C4*E4/100</f>
        <v>57.2012</v>
      </c>
      <c r="J4" s="3" t="n">
        <f aca="false">C4*F4/100</f>
        <v>55.5086</v>
      </c>
      <c r="K4" s="3" t="n">
        <f aca="false">C4*G4/100</f>
        <v>55.0095</v>
      </c>
      <c r="L4" s="3" t="n">
        <f aca="false">H4+I4</f>
        <v>115.2053</v>
      </c>
      <c r="M4" s="3" t="n">
        <f aca="false">J4+K4</f>
        <v>110.5181</v>
      </c>
      <c r="N4" s="3" t="n">
        <f aca="false">M4-L4</f>
        <v>-4.68719999999999</v>
      </c>
    </row>
    <row r="5" customFormat="false" ht="15" hidden="false" customHeight="false" outlineLevel="0" collapsed="false">
      <c r="A5" s="2" t="s">
        <v>106</v>
      </c>
      <c r="B5" s="2" t="s">
        <v>103</v>
      </c>
      <c r="C5" s="3" t="n">
        <v>232</v>
      </c>
      <c r="D5" s="3" t="n">
        <v>26.94</v>
      </c>
      <c r="E5" s="3" t="n">
        <v>26.29</v>
      </c>
      <c r="F5" s="3" t="n">
        <v>25.43</v>
      </c>
      <c r="G5" s="3" t="n">
        <v>25.22</v>
      </c>
      <c r="H5" s="3" t="n">
        <f aca="false">C5*D5/100</f>
        <v>62.5008</v>
      </c>
      <c r="I5" s="3" t="n">
        <f aca="false">C5*E5/100</f>
        <v>60.9928</v>
      </c>
      <c r="J5" s="3" t="n">
        <f aca="false">C5*F5/100</f>
        <v>58.9976</v>
      </c>
      <c r="K5" s="3" t="n">
        <f aca="false">C5*G5/100</f>
        <v>58.5104</v>
      </c>
      <c r="L5" s="3" t="n">
        <f aca="false">H5+I5</f>
        <v>123.4936</v>
      </c>
      <c r="M5" s="3" t="n">
        <f aca="false">J5+K5</f>
        <v>117.508</v>
      </c>
      <c r="N5" s="3" t="n">
        <f aca="false">M5-L5</f>
        <v>-5.98559999999998</v>
      </c>
    </row>
    <row r="6" customFormat="false" ht="15" hidden="false" customHeight="false" outlineLevel="0" collapsed="false">
      <c r="A6" s="2" t="s">
        <v>107</v>
      </c>
      <c r="B6" s="2" t="s">
        <v>103</v>
      </c>
      <c r="C6" s="3" t="n">
        <v>247</v>
      </c>
      <c r="D6" s="3" t="n">
        <v>27.13</v>
      </c>
      <c r="E6" s="3" t="n">
        <v>26.2</v>
      </c>
      <c r="F6" s="3" t="n">
        <v>25.3</v>
      </c>
      <c r="G6" s="3" t="n">
        <v>25.1</v>
      </c>
      <c r="H6" s="3" t="n">
        <f aca="false">C6*D6/100</f>
        <v>67.0111</v>
      </c>
      <c r="I6" s="3" t="n">
        <f aca="false">C6*E6/100</f>
        <v>64.714</v>
      </c>
      <c r="J6" s="3" t="n">
        <f aca="false">C6*F6/100</f>
        <v>62.491</v>
      </c>
      <c r="K6" s="3" t="n">
        <f aca="false">C6*G6/100</f>
        <v>61.997</v>
      </c>
      <c r="L6" s="3" t="n">
        <f aca="false">H6+I6</f>
        <v>131.7251</v>
      </c>
      <c r="M6" s="3" t="n">
        <f aca="false">J6+K6</f>
        <v>124.488</v>
      </c>
      <c r="N6" s="3" t="n">
        <f aca="false">M6-L6</f>
        <v>-7.23709999999998</v>
      </c>
    </row>
    <row r="7" customFormat="false" ht="15" hidden="false" customHeight="false" outlineLevel="0" collapsed="false">
      <c r="A7" s="2" t="s">
        <v>108</v>
      </c>
      <c r="B7" s="2" t="s">
        <v>103</v>
      </c>
      <c r="C7" s="3" t="n">
        <v>270</v>
      </c>
      <c r="D7" s="3" t="n">
        <v>27.41</v>
      </c>
      <c r="E7" s="3" t="n">
        <v>26.11</v>
      </c>
      <c r="F7" s="3" t="n">
        <v>25.15</v>
      </c>
      <c r="G7" s="3" t="n">
        <v>24.96</v>
      </c>
      <c r="H7" s="3" t="n">
        <f aca="false">C7*D7/100</f>
        <v>74.007</v>
      </c>
      <c r="I7" s="3" t="n">
        <f aca="false">C7*E7/100</f>
        <v>70.497</v>
      </c>
      <c r="J7" s="3" t="n">
        <f aca="false">C7*F7/100</f>
        <v>67.905</v>
      </c>
      <c r="K7" s="3" t="n">
        <f aca="false">C7*G7/100</f>
        <v>67.392</v>
      </c>
      <c r="L7" s="3" t="n">
        <f aca="false">H7+I7</f>
        <v>144.504</v>
      </c>
      <c r="M7" s="3" t="n">
        <f aca="false">J7+K7</f>
        <v>135.297</v>
      </c>
      <c r="N7" s="3" t="n">
        <f aca="false">M7-L7</f>
        <v>-9.20700000000002</v>
      </c>
    </row>
    <row r="8" customFormat="false" ht="15" hidden="false" customHeight="false" outlineLevel="0" collapsed="false">
      <c r="A8" s="2" t="s">
        <v>109</v>
      </c>
      <c r="B8" s="2" t="s">
        <v>103</v>
      </c>
      <c r="C8" s="3" t="n">
        <v>310</v>
      </c>
      <c r="D8" s="3" t="n">
        <v>27.74</v>
      </c>
      <c r="E8" s="3" t="n">
        <v>26</v>
      </c>
      <c r="F8" s="3" t="n">
        <v>24.97</v>
      </c>
      <c r="G8" s="3" t="n">
        <v>24.84</v>
      </c>
      <c r="H8" s="3" t="n">
        <f aca="false">C8*D8/100</f>
        <v>85.994</v>
      </c>
      <c r="I8" s="3" t="n">
        <f aca="false">C8*E8/100</f>
        <v>80.6</v>
      </c>
      <c r="J8" s="3" t="n">
        <f aca="false">C8*F8/100</f>
        <v>77.407</v>
      </c>
      <c r="K8" s="3" t="n">
        <f aca="false">C8*G8/100</f>
        <v>77.004</v>
      </c>
      <c r="L8" s="3" t="n">
        <f aca="false">H8+I8</f>
        <v>166.594</v>
      </c>
      <c r="M8" s="3" t="n">
        <f aca="false">J8+K8</f>
        <v>154.411</v>
      </c>
      <c r="N8" s="3" t="n">
        <f aca="false">M8-L8</f>
        <v>-12.183</v>
      </c>
    </row>
    <row r="9" customFormat="false" ht="15" hidden="false" customHeight="false" outlineLevel="0" collapsed="false">
      <c r="A9" s="2" t="s">
        <v>110</v>
      </c>
      <c r="B9" s="2" t="s">
        <v>103</v>
      </c>
      <c r="C9" s="3" t="n">
        <v>360</v>
      </c>
      <c r="D9" s="3" t="n">
        <v>27.92</v>
      </c>
      <c r="E9" s="3" t="n">
        <v>25.97</v>
      </c>
      <c r="F9" s="3" t="n">
        <v>24.83</v>
      </c>
      <c r="G9" s="3" t="n">
        <v>24.72</v>
      </c>
      <c r="H9" s="3" t="n">
        <f aca="false">C9*D9/100</f>
        <v>100.512</v>
      </c>
      <c r="I9" s="3" t="n">
        <f aca="false">C9*E9/100</f>
        <v>93.492</v>
      </c>
      <c r="J9" s="3" t="n">
        <f aca="false">C9*F9/100</f>
        <v>89.388</v>
      </c>
      <c r="K9" s="3" t="n">
        <f aca="false">C9*G9/100</f>
        <v>88.992</v>
      </c>
      <c r="L9" s="3" t="n">
        <f aca="false">H9+I9</f>
        <v>194.004</v>
      </c>
      <c r="M9" s="3" t="n">
        <f aca="false">J9+K9</f>
        <v>178.38</v>
      </c>
      <c r="N9" s="3" t="n">
        <f aca="false">M9-L9</f>
        <v>-15.624</v>
      </c>
    </row>
    <row r="10" customFormat="false" ht="15" hidden="false" customHeight="false" outlineLevel="0" collapsed="false">
      <c r="A10" s="2" t="s">
        <v>102</v>
      </c>
      <c r="B10" s="2" t="s">
        <v>111</v>
      </c>
      <c r="C10" s="3" t="n">
        <v>229.04</v>
      </c>
      <c r="D10" s="3" t="n">
        <v>26.59</v>
      </c>
      <c r="E10" s="3" t="n">
        <v>25.38</v>
      </c>
      <c r="F10" s="3" t="n">
        <v>24.89</v>
      </c>
      <c r="G10" s="3" t="n">
        <v>23.14</v>
      </c>
      <c r="H10" s="3" t="n">
        <f aca="false">C10*D10/100</f>
        <v>60.901736</v>
      </c>
      <c r="I10" s="3" t="n">
        <f aca="false">C10*E10/100</f>
        <v>58.130352</v>
      </c>
      <c r="J10" s="3" t="n">
        <f aca="false">C10*F10/100</f>
        <v>57.008056</v>
      </c>
      <c r="K10" s="3" t="n">
        <f aca="false">C10*G10/100</f>
        <v>52.999856</v>
      </c>
      <c r="L10" s="3" t="n">
        <f aca="false">H10+I10</f>
        <v>119.032088</v>
      </c>
      <c r="M10" s="3" t="n">
        <f aca="false">J10+K10</f>
        <v>110.007912</v>
      </c>
      <c r="N10" s="3" t="n">
        <f aca="false">M10-L10</f>
        <v>-9.02417599999998</v>
      </c>
    </row>
    <row r="11" customFormat="false" ht="15" hidden="false" customHeight="false" outlineLevel="0" collapsed="false">
      <c r="A11" s="2" t="s">
        <v>112</v>
      </c>
      <c r="B11" s="2" t="s">
        <v>111</v>
      </c>
      <c r="C11" s="3" t="n">
        <v>237</v>
      </c>
      <c r="D11" s="3" t="n">
        <v>26.75</v>
      </c>
      <c r="E11" s="3" t="n">
        <v>25.53</v>
      </c>
      <c r="F11" s="3" t="n">
        <v>24.89</v>
      </c>
      <c r="G11" s="3" t="n">
        <v>23.42</v>
      </c>
      <c r="H11" s="3" t="n">
        <f aca="false">C11*D11/100</f>
        <v>63.3975</v>
      </c>
      <c r="I11" s="3" t="n">
        <f aca="false">C11*E11/100</f>
        <v>60.5061</v>
      </c>
      <c r="J11" s="3" t="n">
        <f aca="false">C11*F11/100</f>
        <v>58.9893</v>
      </c>
      <c r="K11" s="3" t="n">
        <f aca="false">C11*G11/100</f>
        <v>55.5054</v>
      </c>
      <c r="L11" s="3" t="n">
        <f aca="false">H11+I11</f>
        <v>123.9036</v>
      </c>
      <c r="M11" s="3" t="n">
        <f aca="false">J11+K11</f>
        <v>114.4947</v>
      </c>
      <c r="N11" s="3" t="n">
        <f aca="false">M11-L11</f>
        <v>-9.40890000000002</v>
      </c>
    </row>
    <row r="12" customFormat="false" ht="15" hidden="false" customHeight="false" outlineLevel="0" collapsed="false">
      <c r="A12" s="2" t="s">
        <v>113</v>
      </c>
      <c r="B12" s="2" t="s">
        <v>111</v>
      </c>
      <c r="C12" s="3" t="n">
        <v>250</v>
      </c>
      <c r="D12" s="3" t="n">
        <v>27</v>
      </c>
      <c r="E12" s="3" t="n">
        <v>25.6</v>
      </c>
      <c r="F12" s="3" t="n">
        <v>24.8</v>
      </c>
      <c r="G12" s="3" t="n">
        <v>23.4</v>
      </c>
      <c r="H12" s="3" t="n">
        <f aca="false">C12*D12/100</f>
        <v>67.5</v>
      </c>
      <c r="I12" s="3" t="n">
        <f aca="false">C12*E12/100</f>
        <v>64</v>
      </c>
      <c r="J12" s="3" t="n">
        <f aca="false">C12*F12/100</f>
        <v>62</v>
      </c>
      <c r="K12" s="3" t="n">
        <f aca="false">C12*G12/100</f>
        <v>58.5</v>
      </c>
      <c r="L12" s="3" t="n">
        <f aca="false">H12+I12</f>
        <v>131.5</v>
      </c>
      <c r="M12" s="3" t="n">
        <f aca="false">J12+K12</f>
        <v>120.5</v>
      </c>
      <c r="N12" s="3" t="n">
        <f aca="false">M12-L12</f>
        <v>-11</v>
      </c>
    </row>
    <row r="13" customFormat="false" ht="15" hidden="false" customHeight="false" outlineLevel="0" collapsed="false">
      <c r="A13" s="2" t="s">
        <v>114</v>
      </c>
      <c r="B13" s="2" t="s">
        <v>111</v>
      </c>
      <c r="C13" s="3" t="n">
        <v>270</v>
      </c>
      <c r="D13" s="3" t="n">
        <v>27.22</v>
      </c>
      <c r="E13" s="3" t="n">
        <v>25.56</v>
      </c>
      <c r="F13" s="3" t="n">
        <v>24.63</v>
      </c>
      <c r="G13" s="3" t="n">
        <v>23.33</v>
      </c>
      <c r="H13" s="3" t="n">
        <f aca="false">C13*D13/100</f>
        <v>73.494</v>
      </c>
      <c r="I13" s="3" t="n">
        <f aca="false">C13*E13/100</f>
        <v>69.012</v>
      </c>
      <c r="J13" s="3" t="n">
        <f aca="false">C13*F13/100</f>
        <v>66.501</v>
      </c>
      <c r="K13" s="3" t="n">
        <f aca="false">C13*G13/100</f>
        <v>62.991</v>
      </c>
      <c r="L13" s="3" t="n">
        <f aca="false">H13+I13</f>
        <v>142.506</v>
      </c>
      <c r="M13" s="3" t="n">
        <f aca="false">J13+K13</f>
        <v>129.492</v>
      </c>
      <c r="N13" s="3" t="n">
        <f aca="false">M13-L13</f>
        <v>-13.014</v>
      </c>
    </row>
    <row r="14" customFormat="false" ht="15" hidden="false" customHeight="false" outlineLevel="0" collapsed="false">
      <c r="A14" s="2" t="s">
        <v>115</v>
      </c>
      <c r="B14" s="2" t="s">
        <v>111</v>
      </c>
      <c r="C14" s="3" t="n">
        <v>290</v>
      </c>
      <c r="D14" s="3" t="n">
        <v>27.41</v>
      </c>
      <c r="E14" s="3" t="n">
        <v>25.52</v>
      </c>
      <c r="F14" s="3" t="n">
        <v>24.48</v>
      </c>
      <c r="G14" s="3" t="n">
        <v>23.28</v>
      </c>
      <c r="H14" s="3" t="n">
        <f aca="false">C14*D14/100</f>
        <v>79.489</v>
      </c>
      <c r="I14" s="3" t="n">
        <f aca="false">C14*E14/100</f>
        <v>74.008</v>
      </c>
      <c r="J14" s="3" t="n">
        <f aca="false">C14*F14/100</f>
        <v>70.992</v>
      </c>
      <c r="K14" s="3" t="n">
        <f aca="false">C14*G14/100</f>
        <v>67.512</v>
      </c>
      <c r="L14" s="3" t="n">
        <f aca="false">H14+I14</f>
        <v>153.497</v>
      </c>
      <c r="M14" s="3" t="n">
        <f aca="false">J14+K14</f>
        <v>138.504</v>
      </c>
      <c r="N14" s="3" t="n">
        <f aca="false">M14-L14</f>
        <v>-14.993</v>
      </c>
    </row>
    <row r="15" customFormat="false" ht="15" hidden="false" customHeight="false" outlineLevel="0" collapsed="false">
      <c r="A15" s="2" t="s">
        <v>116</v>
      </c>
      <c r="B15" s="2" t="s">
        <v>111</v>
      </c>
      <c r="C15" s="3" t="n">
        <v>325</v>
      </c>
      <c r="D15" s="3" t="n">
        <v>27.69</v>
      </c>
      <c r="E15" s="3" t="n">
        <v>25.45</v>
      </c>
      <c r="F15" s="3" t="n">
        <v>24.31</v>
      </c>
      <c r="G15" s="3" t="n">
        <v>23.08</v>
      </c>
      <c r="H15" s="3" t="n">
        <f aca="false">C15*D15/100</f>
        <v>89.9925</v>
      </c>
      <c r="I15" s="3" t="n">
        <f aca="false">C15*E15/100</f>
        <v>82.7125</v>
      </c>
      <c r="J15" s="3" t="n">
        <f aca="false">C15*F15/100</f>
        <v>79.0075</v>
      </c>
      <c r="K15" s="3" t="n">
        <f aca="false">C15*G15/100</f>
        <v>75.01</v>
      </c>
      <c r="L15" s="3" t="n">
        <f aca="false">H15+I15</f>
        <v>172.705</v>
      </c>
      <c r="M15" s="3" t="n">
        <f aca="false">J15+K15</f>
        <v>154.0175</v>
      </c>
      <c r="N15" s="3" t="n">
        <f aca="false">M15-L15</f>
        <v>-18.6875</v>
      </c>
    </row>
    <row r="16" customFormat="false" ht="15" hidden="false" customHeight="false" outlineLevel="0" collapsed="false">
      <c r="A16" s="2" t="s">
        <v>117</v>
      </c>
      <c r="B16" s="2" t="s">
        <v>111</v>
      </c>
      <c r="C16" s="3" t="n">
        <v>390</v>
      </c>
      <c r="D16" s="3" t="n">
        <v>27.95</v>
      </c>
      <c r="E16" s="3" t="n">
        <v>25.38</v>
      </c>
      <c r="F16" s="3" t="n">
        <v>24.1</v>
      </c>
      <c r="G16" s="3" t="n">
        <v>22.95</v>
      </c>
      <c r="H16" s="3" t="n">
        <f aca="false">C16*D16/100</f>
        <v>109.005</v>
      </c>
      <c r="I16" s="3" t="n">
        <f aca="false">C16*E16/100</f>
        <v>98.982</v>
      </c>
      <c r="J16" s="3" t="n">
        <f aca="false">C16*F16/100</f>
        <v>93.99</v>
      </c>
      <c r="K16" s="3" t="n">
        <f aca="false">C16*G16/100</f>
        <v>89.505</v>
      </c>
      <c r="L16" s="3" t="n">
        <f aca="false">H16+I16</f>
        <v>207.987</v>
      </c>
      <c r="M16" s="3" t="n">
        <f aca="false">J16+K16</f>
        <v>183.495</v>
      </c>
      <c r="N16" s="3" t="n">
        <f aca="false">M16-L16</f>
        <v>-24.492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4" min="2" style="0" width="14"/>
    <col collapsed="false" customWidth="true" hidden="false" outlineLevel="0" max="5" min="5" style="0" width="12"/>
  </cols>
  <sheetData>
    <row r="1" customFormat="false" ht="17.35" hidden="false" customHeight="false" outlineLevel="0" collapsed="false">
      <c r="A1" s="4" t="s">
        <v>118</v>
      </c>
    </row>
    <row r="3" customFormat="false" ht="15" hidden="false" customHeight="false" outlineLevel="0" collapsed="false">
      <c r="A3" s="0" t="s">
        <v>119</v>
      </c>
      <c r="C3" s="0" t="n">
        <v>240</v>
      </c>
    </row>
    <row r="4" customFormat="false" ht="15" hidden="false" customHeight="false" outlineLevel="0" collapsed="false">
      <c r="A4" s="0" t="s">
        <v>120</v>
      </c>
      <c r="C4" s="0" t="s">
        <v>121</v>
      </c>
    </row>
    <row r="5" customFormat="false" ht="15" hidden="false" customHeight="false" outlineLevel="0" collapsed="false">
      <c r="A5" s="0" t="s">
        <v>122</v>
      </c>
      <c r="C5" s="0" t="n">
        <f aca="false">C3*1.07276</f>
        <v>257.4624</v>
      </c>
    </row>
    <row r="7" customFormat="false" ht="15" hidden="false" customHeight="false" outlineLevel="0" collapsed="false">
      <c r="A7" s="0" t="s">
        <v>123</v>
      </c>
    </row>
    <row r="8" customFormat="false" ht="15" hidden="false" customHeight="false" outlineLevel="0" collapsed="false">
      <c r="A8" s="1" t="s">
        <v>124</v>
      </c>
      <c r="B8" s="1" t="s">
        <v>125</v>
      </c>
      <c r="C8" s="1" t="s">
        <v>126</v>
      </c>
      <c r="D8" s="1" t="s">
        <v>127</v>
      </c>
      <c r="E8" s="1" t="s">
        <v>128</v>
      </c>
    </row>
    <row r="9" customFormat="false" ht="15" hidden="false" customHeight="false" outlineLevel="0" collapsed="false">
      <c r="A9" s="0" t="s">
        <v>129</v>
      </c>
      <c r="B9" s="0" t="n">
        <f aca="false">IF(C4="M",C3*0.2713,C3*0.27)</f>
        <v>65.112</v>
      </c>
      <c r="C9" s="0" t="n">
        <f aca="false">B9</f>
        <v>65.112</v>
      </c>
      <c r="D9" s="0" t="n">
        <f aca="false">B9*400/400</f>
        <v>65.112</v>
      </c>
      <c r="E9" s="0" t="n">
        <f aca="false">B9/C3*100</f>
        <v>27.13</v>
      </c>
    </row>
    <row r="10" customFormat="false" ht="15" hidden="false" customHeight="false" outlineLevel="0" collapsed="false">
      <c r="A10" s="0" t="s">
        <v>130</v>
      </c>
      <c r="B10" s="0" t="n">
        <f aca="false">IF(C4="M",C3*0.262,C3*0.256)</f>
        <v>62.88</v>
      </c>
      <c r="C10" s="0" t="n">
        <f aca="false">C9+B10</f>
        <v>127.992</v>
      </c>
      <c r="D10" s="0" t="n">
        <f aca="false">B10*400/400</f>
        <v>62.88</v>
      </c>
      <c r="E10" s="0" t="n">
        <f aca="false">B10/C3*100</f>
        <v>26.2</v>
      </c>
    </row>
    <row r="11" customFormat="false" ht="15" hidden="false" customHeight="false" outlineLevel="0" collapsed="false">
      <c r="A11" s="0" t="s">
        <v>131</v>
      </c>
      <c r="B11" s="0" t="n">
        <f aca="false">IF(C4="M",C3*0.253,C3*0.248)</f>
        <v>60.72</v>
      </c>
      <c r="C11" s="0" t="n">
        <f aca="false">C10+B11</f>
        <v>188.712</v>
      </c>
      <c r="D11" s="0" t="n">
        <f aca="false">B11*400/400</f>
        <v>60.72</v>
      </c>
      <c r="E11" s="0" t="n">
        <f aca="false">B11/C3*100</f>
        <v>25.3</v>
      </c>
    </row>
    <row r="12" customFormat="false" ht="15" hidden="false" customHeight="false" outlineLevel="0" collapsed="false">
      <c r="A12" s="0" t="s">
        <v>132</v>
      </c>
      <c r="B12" s="0" t="n">
        <f aca="false">IF(C4="M",C3*0.251,C3*0.234)</f>
        <v>60.24</v>
      </c>
      <c r="C12" s="0" t="n">
        <f aca="false">C11+B12</f>
        <v>248.952</v>
      </c>
      <c r="D12" s="0" t="n">
        <f aca="false">B12*400/300</f>
        <v>80.32</v>
      </c>
      <c r="E12" s="0" t="n">
        <f aca="false">B12/C3*100</f>
        <v>25.1</v>
      </c>
    </row>
    <row r="13" customFormat="false" ht="15" hidden="false" customHeight="false" outlineLevel="0" collapsed="false">
      <c r="A13" s="0" t="s">
        <v>133</v>
      </c>
      <c r="B13" s="0" t="n">
        <f aca="false">SUM(B9:B12)</f>
        <v>248.952</v>
      </c>
      <c r="C13" s="0" t="n">
        <f aca="false">C12</f>
        <v>248.952</v>
      </c>
    </row>
    <row r="15" customFormat="false" ht="15" hidden="false" customHeight="false" outlineLevel="0" collapsed="false">
      <c r="A15" s="0" t="s">
        <v>134</v>
      </c>
      <c r="B15" s="0" t="n">
        <f aca="false">B9+B10</f>
        <v>127.992</v>
      </c>
    </row>
    <row r="16" customFormat="false" ht="15" hidden="false" customHeight="false" outlineLevel="0" collapsed="false">
      <c r="A16" s="0" t="s">
        <v>135</v>
      </c>
      <c r="B16" s="0" t="n">
        <f aca="false">B11+B12</f>
        <v>120.96</v>
      </c>
    </row>
    <row r="17" customFormat="false" ht="15" hidden="false" customHeight="false" outlineLevel="0" collapsed="false">
      <c r="A17" s="0" t="s">
        <v>136</v>
      </c>
      <c r="B17" s="0" t="n">
        <f aca="false">C3/3.75</f>
        <v>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18"/>
    <col collapsed="false" customWidth="true" hidden="false" outlineLevel="0" max="4" min="4" style="0" width="16"/>
  </cols>
  <sheetData>
    <row r="1" customFormat="false" ht="17.35" hidden="false" customHeight="false" outlineLevel="0" collapsed="false">
      <c r="A1" s="4" t="s">
        <v>137</v>
      </c>
    </row>
    <row r="3" customFormat="false" ht="23.85" hidden="false" customHeight="false" outlineLevel="0" collapsed="false">
      <c r="A3" s="1" t="s">
        <v>138</v>
      </c>
      <c r="B3" s="1" t="s">
        <v>139</v>
      </c>
      <c r="C3" s="1" t="s">
        <v>140</v>
      </c>
      <c r="D3" s="1" t="s">
        <v>141</v>
      </c>
    </row>
    <row r="4" customFormat="false" ht="15" hidden="false" customHeight="false" outlineLevel="0" collapsed="false">
      <c r="A4" s="2" t="n">
        <v>206</v>
      </c>
      <c r="B4" s="2" t="n">
        <f aca="false">A4*1609.34/1500</f>
        <v>221.016026666667</v>
      </c>
      <c r="C4" s="3" t="n">
        <f aca="false">A4*1600/1500</f>
        <v>219.733333333333</v>
      </c>
      <c r="D4" s="3" t="n">
        <f aca="false">A4/3.75</f>
        <v>54.9333333333333</v>
      </c>
    </row>
    <row r="5" customFormat="false" ht="15" hidden="false" customHeight="false" outlineLevel="0" collapsed="false">
      <c r="A5" s="2" t="n">
        <v>207</v>
      </c>
      <c r="B5" s="2" t="n">
        <f aca="false">A5*1609.34/1500</f>
        <v>222.08892</v>
      </c>
      <c r="C5" s="3" t="n">
        <f aca="false">A5*1600/1500</f>
        <v>220.8</v>
      </c>
      <c r="D5" s="3" t="n">
        <f aca="false">A5/3.75</f>
        <v>55.2</v>
      </c>
    </row>
    <row r="6" customFormat="false" ht="15" hidden="false" customHeight="false" outlineLevel="0" collapsed="false">
      <c r="A6" s="2" t="n">
        <v>208</v>
      </c>
      <c r="B6" s="2" t="n">
        <f aca="false">A6*1609.34/1500</f>
        <v>223.161813333333</v>
      </c>
      <c r="C6" s="3" t="n">
        <f aca="false">A6*1600/1500</f>
        <v>221.866666666667</v>
      </c>
      <c r="D6" s="3" t="n">
        <f aca="false">A6/3.75</f>
        <v>55.4666666666667</v>
      </c>
    </row>
    <row r="7" customFormat="false" ht="15" hidden="false" customHeight="false" outlineLevel="0" collapsed="false">
      <c r="A7" s="2" t="n">
        <v>210</v>
      </c>
      <c r="B7" s="2" t="n">
        <f aca="false">A7*1609.34/1500</f>
        <v>225.3076</v>
      </c>
      <c r="C7" s="3" t="n">
        <f aca="false">A7*1600/1500</f>
        <v>224</v>
      </c>
      <c r="D7" s="3" t="n">
        <f aca="false">A7/3.75</f>
        <v>56</v>
      </c>
    </row>
    <row r="8" customFormat="false" ht="15" hidden="false" customHeight="false" outlineLevel="0" collapsed="false">
      <c r="A8" s="2" t="n">
        <v>215</v>
      </c>
      <c r="B8" s="2" t="n">
        <f aca="false">A8*1609.34/1500</f>
        <v>230.672066666667</v>
      </c>
      <c r="C8" s="3" t="n">
        <f aca="false">A8*1600/1500</f>
        <v>229.333333333333</v>
      </c>
      <c r="D8" s="3" t="n">
        <f aca="false">A8/3.75</f>
        <v>57.3333333333333</v>
      </c>
    </row>
    <row r="9" customFormat="false" ht="15" hidden="false" customHeight="false" outlineLevel="0" collapsed="false">
      <c r="A9" s="2" t="n">
        <v>220</v>
      </c>
      <c r="B9" s="2" t="n">
        <f aca="false">A9*1609.34/1500</f>
        <v>236.036533333333</v>
      </c>
      <c r="C9" s="3" t="n">
        <f aca="false">A9*1600/1500</f>
        <v>234.666666666667</v>
      </c>
      <c r="D9" s="3" t="n">
        <f aca="false">A9/3.75</f>
        <v>58.6666666666667</v>
      </c>
    </row>
    <row r="10" customFormat="false" ht="15" hidden="false" customHeight="false" outlineLevel="0" collapsed="false">
      <c r="A10" s="2" t="n">
        <v>225</v>
      </c>
      <c r="B10" s="2" t="n">
        <f aca="false">A10*1609.34/1500</f>
        <v>241.401</v>
      </c>
      <c r="C10" s="3" t="n">
        <f aca="false">A10*1600/1500</f>
        <v>240</v>
      </c>
      <c r="D10" s="3" t="n">
        <f aca="false">A10/3.75</f>
        <v>60</v>
      </c>
    </row>
    <row r="11" customFormat="false" ht="15" hidden="false" customHeight="false" outlineLevel="0" collapsed="false">
      <c r="A11" s="2" t="n">
        <v>230</v>
      </c>
      <c r="B11" s="2" t="n">
        <f aca="false">A11*1609.34/1500</f>
        <v>246.765466666667</v>
      </c>
      <c r="C11" s="3" t="n">
        <f aca="false">A11*1600/1500</f>
        <v>245.333333333333</v>
      </c>
      <c r="D11" s="3" t="n">
        <f aca="false">A11/3.75</f>
        <v>61.3333333333333</v>
      </c>
    </row>
    <row r="12" customFormat="false" ht="15" hidden="false" customHeight="false" outlineLevel="0" collapsed="false">
      <c r="A12" s="2" t="n">
        <v>240</v>
      </c>
      <c r="B12" s="2" t="n">
        <f aca="false">A12*1609.34/1500</f>
        <v>257.4944</v>
      </c>
      <c r="C12" s="3" t="n">
        <f aca="false">A12*1600/1500</f>
        <v>256</v>
      </c>
      <c r="D12" s="3" t="n">
        <f aca="false">A12/3.75</f>
        <v>64</v>
      </c>
    </row>
    <row r="13" customFormat="false" ht="15" hidden="false" customHeight="false" outlineLevel="0" collapsed="false">
      <c r="A13" s="2" t="n">
        <v>250</v>
      </c>
      <c r="B13" s="2" t="n">
        <f aca="false">A13*1609.34/1500</f>
        <v>268.223333333333</v>
      </c>
      <c r="C13" s="3" t="n">
        <f aca="false">A13*1600/1500</f>
        <v>266.666666666667</v>
      </c>
      <c r="D13" s="3" t="n">
        <f aca="false">A13/3.75</f>
        <v>66.6666666666667</v>
      </c>
    </row>
    <row r="14" customFormat="false" ht="15" hidden="false" customHeight="false" outlineLevel="0" collapsed="false">
      <c r="A14" s="2" t="n">
        <v>260</v>
      </c>
      <c r="B14" s="2" t="n">
        <f aca="false">A14*1609.34/1500</f>
        <v>278.952266666667</v>
      </c>
      <c r="C14" s="3" t="n">
        <f aca="false">A14*1600/1500</f>
        <v>277.333333333333</v>
      </c>
      <c r="D14" s="3" t="n">
        <f aca="false">A14/3.75</f>
        <v>69.3333333333333</v>
      </c>
    </row>
    <row r="15" customFormat="false" ht="15" hidden="false" customHeight="false" outlineLevel="0" collapsed="false">
      <c r="A15" s="2" t="n">
        <v>270</v>
      </c>
      <c r="B15" s="2" t="n">
        <f aca="false">A15*1609.34/1500</f>
        <v>289.6812</v>
      </c>
      <c r="C15" s="3" t="n">
        <f aca="false">A15*1600/1500</f>
        <v>288</v>
      </c>
      <c r="D15" s="3" t="n">
        <f aca="false">A15/3.75</f>
        <v>72</v>
      </c>
    </row>
    <row r="16" customFormat="false" ht="15" hidden="false" customHeight="false" outlineLevel="0" collapsed="false">
      <c r="A16" s="2" t="n">
        <v>285</v>
      </c>
      <c r="B16" s="2" t="n">
        <f aca="false">A16*1609.34/1500</f>
        <v>305.7746</v>
      </c>
      <c r="C16" s="3" t="n">
        <f aca="false">A16*1600/1500</f>
        <v>304</v>
      </c>
      <c r="D16" s="3" t="n">
        <f aca="false">A16/3.75</f>
        <v>76</v>
      </c>
    </row>
    <row r="17" customFormat="false" ht="15" hidden="false" customHeight="false" outlineLevel="0" collapsed="false">
      <c r="A17" s="2" t="n">
        <v>300</v>
      </c>
      <c r="B17" s="2" t="n">
        <f aca="false">A17*1609.34/1500</f>
        <v>321.868</v>
      </c>
      <c r="C17" s="3" t="n">
        <f aca="false">A17*1600/1500</f>
        <v>320</v>
      </c>
      <c r="D17" s="3" t="n">
        <f aca="false">A17/3.75</f>
        <v>80</v>
      </c>
    </row>
    <row r="18" customFormat="false" ht="15" hidden="false" customHeight="false" outlineLevel="0" collapsed="false">
      <c r="A18" s="2" t="n">
        <v>315</v>
      </c>
      <c r="B18" s="2" t="n">
        <f aca="false">A18*1609.34/1500</f>
        <v>337.9614</v>
      </c>
      <c r="C18" s="3" t="n">
        <f aca="false">A18*1600/1500</f>
        <v>336</v>
      </c>
      <c r="D18" s="3" t="n">
        <f aca="false">A18/3.75</f>
        <v>84</v>
      </c>
    </row>
    <row r="19" customFormat="false" ht="15" hidden="false" customHeight="false" outlineLevel="0" collapsed="false">
      <c r="A19" s="2" t="n">
        <v>330</v>
      </c>
      <c r="B19" s="2" t="n">
        <f aca="false">A19*1609.34/1500</f>
        <v>354.0548</v>
      </c>
      <c r="C19" s="3" t="n">
        <f aca="false">A19*1600/1500</f>
        <v>352</v>
      </c>
      <c r="D19" s="3" t="n">
        <f aca="false">A19/3.75</f>
        <v>88</v>
      </c>
    </row>
    <row r="20" customFormat="false" ht="15" hidden="false" customHeight="false" outlineLevel="0" collapsed="false">
      <c r="A20" s="2" t="n">
        <v>360</v>
      </c>
      <c r="B20" s="2" t="n">
        <f aca="false">A20*1609.34/1500</f>
        <v>386.2416</v>
      </c>
      <c r="C20" s="3" t="n">
        <f aca="false">A20*1600/1500</f>
        <v>384</v>
      </c>
      <c r="D20" s="3" t="n">
        <f aca="false">A20/3.75</f>
        <v>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40"/>
    <col collapsed="false" customWidth="true" hidden="false" outlineLevel="0" max="3" min="3" style="0" width="80"/>
  </cols>
  <sheetData>
    <row r="1" customFormat="false" ht="17.35" hidden="false" customHeight="false" outlineLevel="0" collapsed="false">
      <c r="A1" s="4" t="s">
        <v>142</v>
      </c>
    </row>
    <row r="3" customFormat="false" ht="15" hidden="false" customHeight="false" outlineLevel="0" collapsed="false">
      <c r="A3" s="5" t="s">
        <v>143</v>
      </c>
      <c r="B3" s="6" t="s">
        <v>144</v>
      </c>
      <c r="C3" s="6" t="s">
        <v>145</v>
      </c>
    </row>
    <row r="4" customFormat="false" ht="15" hidden="false" customHeight="false" outlineLevel="0" collapsed="false">
      <c r="A4" s="6"/>
      <c r="B4" s="6" t="s">
        <v>146</v>
      </c>
      <c r="C4" s="6" t="s">
        <v>147</v>
      </c>
    </row>
    <row r="5" customFormat="false" ht="15" hidden="false" customHeight="false" outlineLevel="0" collapsed="false">
      <c r="A5" s="5" t="s">
        <v>148</v>
      </c>
      <c r="B5" s="6" t="s">
        <v>149</v>
      </c>
      <c r="C5" s="6" t="s">
        <v>150</v>
      </c>
    </row>
    <row r="6" customFormat="false" ht="15" hidden="false" customHeight="false" outlineLevel="0" collapsed="false">
      <c r="A6" s="6"/>
      <c r="B6" s="6" t="s">
        <v>151</v>
      </c>
      <c r="C6" s="6" t="s">
        <v>152</v>
      </c>
    </row>
    <row r="7" customFormat="false" ht="15" hidden="false" customHeight="false" outlineLevel="0" collapsed="false">
      <c r="A7" s="6"/>
      <c r="B7" s="6"/>
      <c r="C7" s="6"/>
    </row>
    <row r="8" customFormat="false" ht="15" hidden="false" customHeight="false" outlineLevel="0" collapsed="false">
      <c r="A8" s="5" t="s">
        <v>153</v>
      </c>
      <c r="B8" s="6"/>
      <c r="C8" s="6"/>
    </row>
    <row r="9" customFormat="false" ht="15" hidden="false" customHeight="false" outlineLevel="0" collapsed="false">
      <c r="A9" s="6"/>
      <c r="B9" s="6" t="s">
        <v>154</v>
      </c>
      <c r="C9" s="6"/>
    </row>
    <row r="10" customFormat="false" ht="15" hidden="false" customHeight="false" outlineLevel="0" collapsed="false">
      <c r="A10" s="6"/>
      <c r="B10" s="6" t="s">
        <v>155</v>
      </c>
      <c r="C10" s="6"/>
    </row>
    <row r="11" customFormat="false" ht="15" hidden="false" customHeight="false" outlineLevel="0" collapsed="false">
      <c r="A11" s="6"/>
      <c r="B11" s="6" t="s">
        <v>156</v>
      </c>
      <c r="C11" s="6"/>
    </row>
    <row r="12" customFormat="false" ht="15" hidden="false" customHeight="false" outlineLevel="0" collapsed="false">
      <c r="A12" s="6"/>
      <c r="B12" s="6" t="s">
        <v>157</v>
      </c>
      <c r="C12" s="6"/>
    </row>
    <row r="13" customFormat="false" ht="15" hidden="false" customHeight="false" outlineLevel="0" collapsed="false">
      <c r="A13" s="6"/>
      <c r="B13" s="6" t="s">
        <v>158</v>
      </c>
      <c r="C13" s="6"/>
    </row>
    <row r="14" customFormat="false" ht="15" hidden="false" customHeight="false" outlineLevel="0" collapsed="false">
      <c r="A14" s="6"/>
      <c r="B14" s="6" t="s">
        <v>159</v>
      </c>
      <c r="C14" s="6"/>
    </row>
    <row r="15" customFormat="false" ht="15" hidden="false" customHeight="false" outlineLevel="0" collapsed="false">
      <c r="A15" s="6"/>
      <c r="B15" s="6" t="s">
        <v>160</v>
      </c>
      <c r="C15" s="6"/>
    </row>
    <row r="16" customFormat="false" ht="15" hidden="false" customHeight="false" outlineLevel="0" collapsed="false">
      <c r="A16" s="6"/>
      <c r="B16" s="6" t="s">
        <v>161</v>
      </c>
      <c r="C16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2026-03-21T13:22:40Z</dcterms:created>
  <dc:creator>openpyxl</dc:creator>
  <dc:description/>
  <dc:language>en-US</dc:language>
  <cp:lastModifiedBy/>
  <dcterms:modified xsi:type="dcterms:W3CDTF">2026-03-21T13:22:40Z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