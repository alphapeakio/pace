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 400m Splits" sheetId="1" r:id="rId4"/>
    <sheet state="visible" name="Women 400m Splits" sheetId="2" r:id="rId5"/>
    <sheet state="visible" name="Pacing Model" sheetId="3" r:id="rId6"/>
    <sheet state="visible" name="Pace Calculator" sheetId="4" r:id="rId7"/>
    <sheet state="visible" name="Sources &amp; Notes" sheetId="5" r:id="rId8"/>
  </sheets>
  <definedNames>
    <definedName hidden="1" localSheetId="0" name="_xlnm._FilterDatabase">'Men 400m Splits'!$A$1:$V$40</definedName>
    <definedName hidden="1" localSheetId="1" name="_xlnm._FilterDatabase">'Women 400m Splits'!$A$1:$V$38</definedName>
  </definedNames>
  <calcPr/>
  <extLst>
    <ext uri="GoogleSheetsCustomDataVersion2">
      <go:sheetsCustomData xmlns:go="http://customooxmlschemas.google.com/" r:id="rId9" roundtripDataChecksum="/OFr18TtPJoNz7oDgVei1auIAA49cbJHBuqCAXaF1+w="/>
    </ext>
  </extLst>
</workbook>
</file>

<file path=xl/sharedStrings.xml><?xml version="1.0" encoding="utf-8"?>
<sst xmlns="http://schemas.openxmlformats.org/spreadsheetml/2006/main" count="647" uniqueCount="305">
  <si>
    <t>Athlete</t>
  </si>
  <si>
    <t>Nationality</t>
  </si>
  <si>
    <t>Birth Year</t>
  </si>
  <si>
    <t>Date</t>
  </si>
  <si>
    <t>Competition</t>
  </si>
  <si>
    <t>Round</t>
  </si>
  <si>
    <t>Official Time (s)</t>
  </si>
  <si>
    <t>Lane</t>
  </si>
  <si>
    <t>Place</t>
  </si>
  <si>
    <t>0-100m (s)</t>
  </si>
  <si>
    <t>100-200m (s)</t>
  </si>
  <si>
    <t>200-300m (s)</t>
  </si>
  <si>
    <t>300-400m (s)</t>
  </si>
  <si>
    <t>0-200m (s)</t>
  </si>
  <si>
    <t>200-400m (s)</t>
  </si>
  <si>
    <t>Differential (s)</t>
  </si>
  <si>
    <t>% 0-100</t>
  </si>
  <si>
    <t>% 100-200</t>
  </si>
  <si>
    <t>% 200-300</t>
  </si>
  <si>
    <t>% 300-400</t>
  </si>
  <si>
    <t>Record Type</t>
  </si>
  <si>
    <t>Source</t>
  </si>
  <si>
    <t>van Niekerk, Wayde</t>
  </si>
  <si>
    <t>RSA</t>
  </si>
  <si>
    <t>2016-08-14</t>
  </si>
  <si>
    <t>Olympic Games Rio</t>
  </si>
  <si>
    <t>Final</t>
  </si>
  <si>
    <t>WR</t>
  </si>
  <si>
    <t>Yamamoto (2016)</t>
  </si>
  <si>
    <t>Johnson, Michael</t>
  </si>
  <si>
    <t>USA</t>
  </si>
  <si>
    <t>1999-08-26</t>
  </si>
  <si>
    <t>World Championships Seville</t>
  </si>
  <si>
    <t>Ferro (2001)</t>
  </si>
  <si>
    <t>Reynolds, Butch</t>
  </si>
  <si>
    <t>1988-08-17</t>
  </si>
  <si>
    <t>Weltklasse Zurich</t>
  </si>
  <si>
    <t>Vazel (2016)</t>
  </si>
  <si>
    <t>1995-08-09</t>
  </si>
  <si>
    <t>World Championships Goteborg</t>
  </si>
  <si>
    <t>CR/PB</t>
  </si>
  <si>
    <t>Pariente (2003)</t>
  </si>
  <si>
    <t>Hall, Quincy</t>
  </si>
  <si>
    <t>2024-08-07</t>
  </si>
  <si>
    <t>Olympic Games Paris</t>
  </si>
  <si>
    <t>PB</t>
  </si>
  <si>
    <t>Paris 2024 Results Book</t>
  </si>
  <si>
    <t>Hudson-Smith, Matthew</t>
  </si>
  <si>
    <t>GBR</t>
  </si>
  <si>
    <t>AR</t>
  </si>
  <si>
    <t>Wariner, Jeremy</t>
  </si>
  <si>
    <t>2007-08-31</t>
  </si>
  <si>
    <t>World Championships Osaka</t>
  </si>
  <si>
    <t>Mochida (2008)</t>
  </si>
  <si>
    <t>2015-08-26</t>
  </si>
  <si>
    <t>World Championships Beijing</t>
  </si>
  <si>
    <t>Kohei (2015)</t>
  </si>
  <si>
    <t>Gardiner, Steven</t>
  </si>
  <si>
    <t>BAH</t>
  </si>
  <si>
    <t>2019-10-04</t>
  </si>
  <si>
    <t>World Championships Doha</t>
  </si>
  <si>
    <t>NR/PB</t>
  </si>
  <si>
    <t>Yamanaka (2019)</t>
  </si>
  <si>
    <t>1996-07-29</t>
  </si>
  <si>
    <t>Olympic Games Atlanta</t>
  </si>
  <si>
    <t>OR</t>
  </si>
  <si>
    <t>Urtebise (1996)</t>
  </si>
  <si>
    <t>Watts, Quincy</t>
  </si>
  <si>
    <t>1992-08-05</t>
  </si>
  <si>
    <t>Olympic Games Barcelona</t>
  </si>
  <si>
    <t>Butler (2016)</t>
  </si>
  <si>
    <t>Norman, Michael</t>
  </si>
  <si>
    <t>2022-05-28</t>
  </si>
  <si>
    <t>Prefontaine Classic Eugene</t>
  </si>
  <si>
    <t>Omega Timing (2022)</t>
  </si>
  <si>
    <t>1993-08-17</t>
  </si>
  <si>
    <t>World Championships Stuttgart</t>
  </si>
  <si>
    <t>Graubner (2009)</t>
  </si>
  <si>
    <t>Merritt, LaShawn</t>
  </si>
  <si>
    <t>Kerley, Fred</t>
  </si>
  <si>
    <t>2017-05-26</t>
  </si>
  <si>
    <t>NCAA West Preliminary</t>
  </si>
  <si>
    <t>QF</t>
  </si>
  <si>
    <t>Vazel (2018)</t>
  </si>
  <si>
    <t>2017-07-21</t>
  </si>
  <si>
    <t>Herculis Monaco</t>
  </si>
  <si>
    <t>Twitter/Touchdown Time</t>
  </si>
  <si>
    <t>2013-08-13</t>
  </si>
  <si>
    <t>World Championships Moscow</t>
  </si>
  <si>
    <t>T&amp;FN (2013)</t>
  </si>
  <si>
    <t>2024-07-20</t>
  </si>
  <si>
    <t>Diamond League London</t>
  </si>
  <si>
    <t>Omega Timing (2024)</t>
  </si>
  <si>
    <t>Samukonga, Muzala</t>
  </si>
  <si>
    <t>ZAM</t>
  </si>
  <si>
    <t>2008-08-21</t>
  </si>
  <si>
    <t>Olympic Games Beijing</t>
  </si>
  <si>
    <t>Vazel (2011)</t>
  </si>
  <si>
    <t>James, Kirani</t>
  </si>
  <si>
    <t>GRN</t>
  </si>
  <si>
    <t>Richards, Jereem</t>
  </si>
  <si>
    <t>TTO</t>
  </si>
  <si>
    <t>Lewis, Steve</t>
  </si>
  <si>
    <t>1988-09-28</t>
  </si>
  <si>
    <t>Olympic Games Seoul</t>
  </si>
  <si>
    <t>WJR</t>
  </si>
  <si>
    <t>Brüggemann (1990)</t>
  </si>
  <si>
    <t>Evans, Lee</t>
  </si>
  <si>
    <t>1968-10-18</t>
  </si>
  <si>
    <t>Olympic Games Mexico City</t>
  </si>
  <si>
    <t>T&amp;F News (1979)</t>
  </si>
  <si>
    <t>2005-08-12</t>
  </si>
  <si>
    <t>World Championships Helsinki</t>
  </si>
  <si>
    <t>ferrari (2009)</t>
  </si>
  <si>
    <t>2021-08-05</t>
  </si>
  <si>
    <t>Olympic Games Tokyo</t>
  </si>
  <si>
    <t>2012-08-06</t>
  </si>
  <si>
    <t>Olympic Games London</t>
  </si>
  <si>
    <t>2009-08-21</t>
  </si>
  <si>
    <t>World Championships Berlin</t>
  </si>
  <si>
    <t>Graubner (2011)</t>
  </si>
  <si>
    <t>Cherry, Michael</t>
  </si>
  <si>
    <t>2021-09-03</t>
  </si>
  <si>
    <t>Diamond League Brussels</t>
  </si>
  <si>
    <t>Omega Timing (2021)</t>
  </si>
  <si>
    <t>Zambrano, Anthony</t>
  </si>
  <si>
    <t>COL</t>
  </si>
  <si>
    <t>Watson, Antonio</t>
  </si>
  <si>
    <t>JAM</t>
  </si>
  <si>
    <t>2023-08-24</t>
  </si>
  <si>
    <t>World Championships Budapest</t>
  </si>
  <si>
    <t>Yamanaka (2024)</t>
  </si>
  <si>
    <t>2004-08-23</t>
  </si>
  <si>
    <t>Olympic Games Athens</t>
  </si>
  <si>
    <t>Everett, Danny</t>
  </si>
  <si>
    <t>Norwood, Vernon</t>
  </si>
  <si>
    <t>Kebinatshipi, Collen</t>
  </si>
  <si>
    <t>BOT</t>
  </si>
  <si>
    <t>2024-08-22</t>
  </si>
  <si>
    <t>Diamond League Lausanne</t>
  </si>
  <si>
    <t>Haroun, Abdalelah</t>
  </si>
  <si>
    <t>QAT</t>
  </si>
  <si>
    <t>2018-07-21</t>
  </si>
  <si>
    <t>NR</t>
  </si>
  <si>
    <t>Omega Timing (2018)</t>
  </si>
  <si>
    <t>Koch, Marita</t>
  </si>
  <si>
    <t>GDR</t>
  </si>
  <si>
    <t>1985-10-06</t>
  </si>
  <si>
    <t>World Cup Canberra</t>
  </si>
  <si>
    <t>Saunders (2015)</t>
  </si>
  <si>
    <t>McLaughlin-Levrone, Sydney</t>
  </si>
  <si>
    <t>2025-09-18</t>
  </si>
  <si>
    <t>World Championships Tokyo</t>
  </si>
  <si>
    <t>AR/PB</t>
  </si>
  <si>
    <t>Seiko Timing (2025)</t>
  </si>
  <si>
    <t>Paulino, Marileidy</t>
  </si>
  <si>
    <t>DOM</t>
  </si>
  <si>
    <t>Kratochvilova, Jarmila</t>
  </si>
  <si>
    <t>TCH</t>
  </si>
  <si>
    <t>1983-08-10</t>
  </si>
  <si>
    <t>WR/CR</t>
  </si>
  <si>
    <t>Butler (2013)</t>
  </si>
  <si>
    <t>Naser, Salwa Eid</t>
  </si>
  <si>
    <t>BRN</t>
  </si>
  <si>
    <t>2019-10-03</t>
  </si>
  <si>
    <t>1982-09-08</t>
  </si>
  <si>
    <t>European Championships Athens</t>
  </si>
  <si>
    <t>Heß (1985)</t>
  </si>
  <si>
    <t>1984-08-16</t>
  </si>
  <si>
    <t>Women's Friendship Games Praha</t>
  </si>
  <si>
    <t>Bondarchuk (2007)</t>
  </si>
  <si>
    <t>2024-08-09</t>
  </si>
  <si>
    <t>AR/OR</t>
  </si>
  <si>
    <t>1986-08-28</t>
  </si>
  <si>
    <t>European Championships Stuttgart</t>
  </si>
  <si>
    <t>Perec, Marie-Jose</t>
  </si>
  <si>
    <t>FRA</t>
  </si>
  <si>
    <t>OR/NR</t>
  </si>
  <si>
    <t>1984-07-26</t>
  </si>
  <si>
    <t>East German Spitzenklasse Dresden</t>
  </si>
  <si>
    <t>2025-09-16</t>
  </si>
  <si>
    <t>SF</t>
  </si>
  <si>
    <t>Miller-Uibo, Shaunae</t>
  </si>
  <si>
    <t>2021-08-06</t>
  </si>
  <si>
    <t>Mboma, Christine</t>
  </si>
  <si>
    <t>NAM</t>
  </si>
  <si>
    <t>2021-06-30</t>
  </si>
  <si>
    <t>Szewinska Memorial Bydgoszcz</t>
  </si>
  <si>
    <t>Vazel (2021)</t>
  </si>
  <si>
    <t>Pryce, Nickisha</t>
  </si>
  <si>
    <t>Kocembova, Tatana</t>
  </si>
  <si>
    <t>Veney</t>
  </si>
  <si>
    <t>Freeman, Cathy</t>
  </si>
  <si>
    <t>AUS</t>
  </si>
  <si>
    <t>Bryzgina, Olga</t>
  </si>
  <si>
    <t>URS</t>
  </si>
  <si>
    <t>1988-09-26</t>
  </si>
  <si>
    <t>2024-08-25</t>
  </si>
  <si>
    <t>Diamond League Chorzow</t>
  </si>
  <si>
    <t>Richards, Sanya</t>
  </si>
  <si>
    <t>2006-09-16</t>
  </si>
  <si>
    <t>World Cup Athens</t>
  </si>
  <si>
    <t>Graubner (2008)</t>
  </si>
  <si>
    <t>2023-07-08</t>
  </si>
  <si>
    <t>USATF Championships Eugene</t>
  </si>
  <si>
    <t>Track Newsletter (2023)</t>
  </si>
  <si>
    <t>2023-08-23</t>
  </si>
  <si>
    <t>Seiko Timing (2023)</t>
  </si>
  <si>
    <t>Guevara, Ana</t>
  </si>
  <si>
    <t>MEX</t>
  </si>
  <si>
    <t>2003-08-27</t>
  </si>
  <si>
    <t>World Championships Paris</t>
  </si>
  <si>
    <t>Smith (2005)</t>
  </si>
  <si>
    <t>Kaczmarek, Natalia</t>
  </si>
  <si>
    <t>POL</t>
  </si>
  <si>
    <t>2025-08-02</t>
  </si>
  <si>
    <t>USATF/Karmarush (2025)</t>
  </si>
  <si>
    <t>2024-06-10</t>
  </si>
  <si>
    <t>European Championships Roma</t>
  </si>
  <si>
    <t>European Athletics (2024)</t>
  </si>
  <si>
    <t>2022-09-08</t>
  </si>
  <si>
    <t>Diamond League Zurich</t>
  </si>
  <si>
    <t>2009-08-18</t>
  </si>
  <si>
    <t>Brisco-Hooks, Valerie</t>
  </si>
  <si>
    <t>1984-08-06</t>
  </si>
  <si>
    <t>Olympic Games Los Angeles</t>
  </si>
  <si>
    <t>Adams (1984)</t>
  </si>
  <si>
    <t>2025-08-28</t>
  </si>
  <si>
    <t>Omega Timing (2025)</t>
  </si>
  <si>
    <t>Adeleke, Rhasidat</t>
  </si>
  <si>
    <t>IRL</t>
  </si>
  <si>
    <t>Performance Level</t>
  </si>
  <si>
    <t>Gender</t>
  </si>
  <si>
    <t>Target Time (s)</t>
  </si>
  <si>
    <t>0-100m %</t>
  </si>
  <si>
    <t>100-200m %</t>
  </si>
  <si>
    <t>200-300m %</t>
  </si>
  <si>
    <t>300-400m %</t>
  </si>
  <si>
    <t>0-100m Target</t>
  </si>
  <si>
    <t>100-200m Target</t>
  </si>
  <si>
    <t>200-300m Target</t>
  </si>
  <si>
    <t>300-400m Target</t>
  </si>
  <si>
    <t>0-200m Target</t>
  </si>
  <si>
    <t>200-400m Target</t>
  </si>
  <si>
    <t>Differential</t>
  </si>
  <si>
    <t>World Record</t>
  </si>
  <si>
    <t>Male</t>
  </si>
  <si>
    <t>World Class (43.4-43.8)</t>
  </si>
  <si>
    <t>Elite (43.8-44.2)</t>
  </si>
  <si>
    <t>Sub-Elite (44.5-46.0)</t>
  </si>
  <si>
    <t>Collegiate (46-48)</t>
  </si>
  <si>
    <t>HS Varsity (48-52)</t>
  </si>
  <si>
    <t>HS JV (52-58)</t>
  </si>
  <si>
    <t>Female</t>
  </si>
  <si>
    <t>World Class (47.8-48.5)</t>
  </si>
  <si>
    <t>Elite (48.5-49.5)</t>
  </si>
  <si>
    <t>Sub-Elite (49.5-52.0)</t>
  </si>
  <si>
    <t>Collegiate (52-55)</t>
  </si>
  <si>
    <t>HS Varsity (55-60)</t>
  </si>
  <si>
    <t>HS JV (60-68)</t>
  </si>
  <si>
    <t>400m PACE CALCULATOR</t>
  </si>
  <si>
    <t>Enter Target Time (seconds):</t>
  </si>
  <si>
    <t>Gender (M or F):</t>
  </si>
  <si>
    <t>M</t>
  </si>
  <si>
    <t>RECOMMENDED SPLITS</t>
  </si>
  <si>
    <t>Segment</t>
  </si>
  <si>
    <t>Split Time (s)</t>
  </si>
  <si>
    <t>Cumulative (s)</t>
  </si>
  <si>
    <t>Velocity (m/s)</t>
  </si>
  <si>
    <t>% of Total</t>
  </si>
  <si>
    <t>0-100m</t>
  </si>
  <si>
    <t>100-200m</t>
  </si>
  <si>
    <t>200-300m</t>
  </si>
  <si>
    <t>300-400m</t>
  </si>
  <si>
    <t>TOTAL</t>
  </si>
  <si>
    <t>0-200m</t>
  </si>
  <si>
    <t>200-400m</t>
  </si>
  <si>
    <t>DATA SOURCES &amp; METHODOLOGY</t>
  </si>
  <si>
    <t>Primary Source</t>
  </si>
  <si>
    <t>Athletes First (athletefirst.org)</t>
  </si>
  <si>
    <t>192-page men's PDF, 215-page women's PDF with 100m split data from major championships 1968-2025</t>
  </si>
  <si>
    <t>Updated March 2025 (men), October 2025 (women)</t>
  </si>
  <si>
    <t>Academic Sources</t>
  </si>
  <si>
    <t>Biomechanical analysis, 7th World Championships Seville 1999</t>
  </si>
  <si>
    <t>Biomechanical analysis, 400m final, 2007 World Championships</t>
  </si>
  <si>
    <t>Sprint/hurdle biomechanics, 2009 World Championships</t>
  </si>
  <si>
    <t>Scientific research, Seoul 1988 Olympic Games</t>
  </si>
  <si>
    <t>Reardon (2013)</t>
  </si>
  <si>
    <t>Optimal pacing for 400m and 800m, Am. J. Phys.</t>
  </si>
  <si>
    <t>Timing Sources</t>
  </si>
  <si>
    <t>Omega Timing</t>
  </si>
  <si>
    <t>Diamond League race analysis 2018-2025</t>
  </si>
  <si>
    <t>Seiko Timing</t>
  </si>
  <si>
    <t>World Championships race analysis 2023-2025</t>
  </si>
  <si>
    <t>Official Olympic results with splits</t>
  </si>
  <si>
    <t>NOTES ON PACING MODEL</t>
  </si>
  <si>
    <t>Elite split percentages are computed from actual race data in the database.</t>
  </si>
  <si>
    <t>Sub-elite and youth percentages are extrapolated based on established patterns:</t>
  </si>
  <si>
    <t>- Youth athletes typically show greater deceleration (higher 300-400m %)</t>
  </si>
  <si>
    <t>- Female athletes generally show less relative deceleration than males at elite level</t>
  </si>
  <si>
    <t>- The 'differential' (200-400 minus 0-200) increases at lower performance levels</t>
  </si>
  <si>
    <t>- Reaction time is NOT included in 0-100m splits (subtracted in source data)</t>
  </si>
  <si>
    <t>- HS athletes typically run 48-58s (boys) and 55-68s (girls)</t>
  </si>
  <si>
    <t>- Middle school athletes typically run 55-70s (boys) and 60-80s (girls)</t>
  </si>
  <si>
    <t>- Adjust calculator percentages based on individual athlete profiles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</si>
</sst>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2.0"/>
      <color rgb="FF0000FF"/>
      <name val="Arial"/>
    </font>
    <font>
      <b/>
      <sz val="12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8.0"/>
    <col customWidth="1" min="3" max="3" width="10.0"/>
    <col customWidth="1" min="4" max="4" width="12.0"/>
    <col customWidth="1" min="5" max="5" width="32.0"/>
    <col customWidth="1" min="6" max="6" width="8.0"/>
    <col customWidth="1" min="7" max="7" width="14.0"/>
    <col customWidth="1" min="8" max="22" width="13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>
        <v>1992.0</v>
      </c>
      <c r="D2" s="2" t="s">
        <v>24</v>
      </c>
      <c r="E2" s="2" t="s">
        <v>25</v>
      </c>
      <c r="F2" s="2" t="s">
        <v>26</v>
      </c>
      <c r="G2" s="3">
        <v>43.03</v>
      </c>
      <c r="H2" s="2">
        <v>8.0</v>
      </c>
      <c r="I2" s="2">
        <v>1.0</v>
      </c>
      <c r="J2" s="3">
        <v>10.77</v>
      </c>
      <c r="K2" s="3">
        <v>9.81</v>
      </c>
      <c r="L2" s="3">
        <v>10.48</v>
      </c>
      <c r="M2" s="3">
        <v>11.97</v>
      </c>
      <c r="N2" s="3">
        <v>20.58</v>
      </c>
      <c r="O2" s="3">
        <v>22.45</v>
      </c>
      <c r="P2" s="3">
        <v>1.87</v>
      </c>
      <c r="Q2" s="4">
        <f t="shared" ref="Q2:Q10" si="1">J2/G2*100</f>
        <v>25.0290495</v>
      </c>
      <c r="R2" s="4">
        <f t="shared" ref="R2:R10" si="2">K2/G2*100</f>
        <v>22.79804787</v>
      </c>
      <c r="S2" s="4">
        <f t="shared" ref="S2:S33" si="3">L2/G2*100</f>
        <v>24.35510109</v>
      </c>
      <c r="T2" s="4">
        <f t="shared" ref="T2:T33" si="4">M2/G2*100</f>
        <v>27.81780153</v>
      </c>
      <c r="U2" s="2" t="s">
        <v>27</v>
      </c>
      <c r="V2" s="2" t="s">
        <v>28</v>
      </c>
    </row>
    <row r="3">
      <c r="A3" s="2" t="s">
        <v>29</v>
      </c>
      <c r="B3" s="2" t="s">
        <v>30</v>
      </c>
      <c r="C3" s="2">
        <v>1967.0</v>
      </c>
      <c r="D3" s="2" t="s">
        <v>31</v>
      </c>
      <c r="E3" s="2" t="s">
        <v>32</v>
      </c>
      <c r="F3" s="2" t="s">
        <v>26</v>
      </c>
      <c r="G3" s="3">
        <v>43.18</v>
      </c>
      <c r="H3" s="2">
        <v>5.0</v>
      </c>
      <c r="I3" s="2">
        <v>1.0</v>
      </c>
      <c r="J3" s="3">
        <v>11.1</v>
      </c>
      <c r="K3" s="3">
        <v>10.12</v>
      </c>
      <c r="L3" s="3">
        <v>10.44</v>
      </c>
      <c r="M3" s="3">
        <v>11.52</v>
      </c>
      <c r="N3" s="3">
        <v>21.22</v>
      </c>
      <c r="O3" s="3">
        <v>21.96</v>
      </c>
      <c r="P3" s="3">
        <v>0.74</v>
      </c>
      <c r="Q3" s="4">
        <f t="shared" si="1"/>
        <v>25.70634553</v>
      </c>
      <c r="R3" s="4">
        <f t="shared" si="2"/>
        <v>23.43677629</v>
      </c>
      <c r="S3" s="4">
        <f t="shared" si="3"/>
        <v>24.17786012</v>
      </c>
      <c r="T3" s="4">
        <f t="shared" si="4"/>
        <v>26.67901806</v>
      </c>
      <c r="U3" s="2" t="s">
        <v>27</v>
      </c>
      <c r="V3" s="2" t="s">
        <v>33</v>
      </c>
    </row>
    <row r="4">
      <c r="A4" s="2" t="s">
        <v>34</v>
      </c>
      <c r="B4" s="2" t="s">
        <v>30</v>
      </c>
      <c r="C4" s="2">
        <v>1964.0</v>
      </c>
      <c r="D4" s="2" t="s">
        <v>35</v>
      </c>
      <c r="E4" s="2" t="s">
        <v>36</v>
      </c>
      <c r="F4" s="2" t="s">
        <v>26</v>
      </c>
      <c r="G4" s="3">
        <v>43.29</v>
      </c>
      <c r="H4" s="2"/>
      <c r="I4" s="2">
        <v>1.0</v>
      </c>
      <c r="J4" s="3">
        <v>11.3</v>
      </c>
      <c r="K4" s="3">
        <v>10.1</v>
      </c>
      <c r="L4" s="3">
        <v>10.7</v>
      </c>
      <c r="M4" s="3">
        <v>11.2</v>
      </c>
      <c r="N4" s="3">
        <v>21.4</v>
      </c>
      <c r="O4" s="3">
        <v>21.9</v>
      </c>
      <c r="P4" s="3">
        <v>0.5</v>
      </c>
      <c r="Q4" s="4">
        <f t="shared" si="1"/>
        <v>26.1030261</v>
      </c>
      <c r="R4" s="4">
        <f t="shared" si="2"/>
        <v>23.33102333</v>
      </c>
      <c r="S4" s="4">
        <f t="shared" si="3"/>
        <v>24.71702472</v>
      </c>
      <c r="T4" s="4">
        <f t="shared" si="4"/>
        <v>25.87202587</v>
      </c>
      <c r="U4" s="2" t="s">
        <v>27</v>
      </c>
      <c r="V4" s="2" t="s">
        <v>37</v>
      </c>
    </row>
    <row r="5">
      <c r="A5" s="2" t="s">
        <v>29</v>
      </c>
      <c r="B5" s="2" t="s">
        <v>30</v>
      </c>
      <c r="C5" s="2">
        <v>1967.0</v>
      </c>
      <c r="D5" s="2" t="s">
        <v>38</v>
      </c>
      <c r="E5" s="2" t="s">
        <v>39</v>
      </c>
      <c r="F5" s="2" t="s">
        <v>26</v>
      </c>
      <c r="G5" s="3">
        <v>43.39</v>
      </c>
      <c r="H5" s="2">
        <v>5.0</v>
      </c>
      <c r="I5" s="2">
        <v>1.0</v>
      </c>
      <c r="J5" s="3">
        <v>11.13</v>
      </c>
      <c r="K5" s="3">
        <v>10.13</v>
      </c>
      <c r="L5" s="3">
        <v>10.29</v>
      </c>
      <c r="M5" s="3">
        <v>11.84</v>
      </c>
      <c r="N5" s="3">
        <v>21.26</v>
      </c>
      <c r="O5" s="3">
        <v>22.13</v>
      </c>
      <c r="P5" s="3">
        <v>0.87</v>
      </c>
      <c r="Q5" s="4">
        <f t="shared" si="1"/>
        <v>25.65107168</v>
      </c>
      <c r="R5" s="4">
        <f t="shared" si="2"/>
        <v>23.34639318</v>
      </c>
      <c r="S5" s="4">
        <f t="shared" si="3"/>
        <v>23.71514174</v>
      </c>
      <c r="T5" s="4">
        <f t="shared" si="4"/>
        <v>27.28739341</v>
      </c>
      <c r="U5" s="2" t="s">
        <v>40</v>
      </c>
      <c r="V5" s="2" t="s">
        <v>41</v>
      </c>
    </row>
    <row r="6">
      <c r="A6" s="2" t="s">
        <v>42</v>
      </c>
      <c r="B6" s="2" t="s">
        <v>30</v>
      </c>
      <c r="C6" s="2">
        <v>1998.0</v>
      </c>
      <c r="D6" s="2" t="s">
        <v>43</v>
      </c>
      <c r="E6" s="2" t="s">
        <v>44</v>
      </c>
      <c r="F6" s="2" t="s">
        <v>26</v>
      </c>
      <c r="G6" s="3">
        <v>43.4</v>
      </c>
      <c r="H6" s="2">
        <v>8.0</v>
      </c>
      <c r="I6" s="2">
        <v>1.0</v>
      </c>
      <c r="J6" s="3">
        <v>11.01</v>
      </c>
      <c r="K6" s="3">
        <v>9.99</v>
      </c>
      <c r="L6" s="3">
        <v>10.81</v>
      </c>
      <c r="M6" s="3">
        <v>11.59</v>
      </c>
      <c r="N6" s="3">
        <v>21.0</v>
      </c>
      <c r="O6" s="3">
        <v>22.4</v>
      </c>
      <c r="P6" s="3">
        <v>1.4</v>
      </c>
      <c r="Q6" s="4">
        <f t="shared" si="1"/>
        <v>25.36866359</v>
      </c>
      <c r="R6" s="4">
        <f t="shared" si="2"/>
        <v>23.01843318</v>
      </c>
      <c r="S6" s="4">
        <f t="shared" si="3"/>
        <v>24.9078341</v>
      </c>
      <c r="T6" s="4">
        <f t="shared" si="4"/>
        <v>26.70506912</v>
      </c>
      <c r="U6" s="2" t="s">
        <v>45</v>
      </c>
      <c r="V6" s="2" t="s">
        <v>46</v>
      </c>
    </row>
    <row r="7">
      <c r="A7" s="2" t="s">
        <v>47</v>
      </c>
      <c r="B7" s="2" t="s">
        <v>48</v>
      </c>
      <c r="C7" s="2">
        <v>1994.0</v>
      </c>
      <c r="D7" s="2" t="s">
        <v>43</v>
      </c>
      <c r="E7" s="2" t="s">
        <v>44</v>
      </c>
      <c r="F7" s="2" t="s">
        <v>26</v>
      </c>
      <c r="G7" s="3">
        <v>43.44</v>
      </c>
      <c r="H7" s="2">
        <v>6.0</v>
      </c>
      <c r="I7" s="2">
        <v>2.0</v>
      </c>
      <c r="J7" s="3">
        <v>10.81</v>
      </c>
      <c r="K7" s="3">
        <v>9.81</v>
      </c>
      <c r="L7" s="3">
        <v>10.73</v>
      </c>
      <c r="M7" s="3">
        <v>12.09</v>
      </c>
      <c r="N7" s="3">
        <v>20.62</v>
      </c>
      <c r="O7" s="3">
        <v>22.82</v>
      </c>
      <c r="P7" s="3">
        <v>2.2</v>
      </c>
      <c r="Q7" s="4">
        <f t="shared" si="1"/>
        <v>24.88489871</v>
      </c>
      <c r="R7" s="4">
        <f t="shared" si="2"/>
        <v>22.58287293</v>
      </c>
      <c r="S7" s="4">
        <f t="shared" si="3"/>
        <v>24.70073665</v>
      </c>
      <c r="T7" s="4">
        <f t="shared" si="4"/>
        <v>27.83149171</v>
      </c>
      <c r="U7" s="2" t="s">
        <v>49</v>
      </c>
      <c r="V7" s="2" t="s">
        <v>46</v>
      </c>
    </row>
    <row r="8">
      <c r="A8" s="2" t="s">
        <v>50</v>
      </c>
      <c r="B8" s="2" t="s">
        <v>30</v>
      </c>
      <c r="C8" s="2">
        <v>1984.0</v>
      </c>
      <c r="D8" s="2" t="s">
        <v>51</v>
      </c>
      <c r="E8" s="2" t="s">
        <v>52</v>
      </c>
      <c r="F8" s="2" t="s">
        <v>26</v>
      </c>
      <c r="G8" s="3">
        <v>43.45</v>
      </c>
      <c r="H8" s="2">
        <v>6.0</v>
      </c>
      <c r="I8" s="2">
        <v>1.0</v>
      </c>
      <c r="J8" s="3">
        <v>10.8</v>
      </c>
      <c r="K8" s="3">
        <v>10.17</v>
      </c>
      <c r="L8" s="3">
        <v>10.63</v>
      </c>
      <c r="M8" s="3">
        <v>11.85</v>
      </c>
      <c r="N8" s="3">
        <v>20.97</v>
      </c>
      <c r="O8" s="3">
        <v>22.48</v>
      </c>
      <c r="P8" s="3">
        <v>1.51</v>
      </c>
      <c r="Q8" s="4">
        <f t="shared" si="1"/>
        <v>24.8561565</v>
      </c>
      <c r="R8" s="4">
        <f t="shared" si="2"/>
        <v>23.40621404</v>
      </c>
      <c r="S8" s="4">
        <f t="shared" si="3"/>
        <v>24.46490219</v>
      </c>
      <c r="T8" s="4">
        <f t="shared" si="4"/>
        <v>27.27272727</v>
      </c>
      <c r="U8" s="2" t="s">
        <v>45</v>
      </c>
      <c r="V8" s="2" t="s">
        <v>53</v>
      </c>
    </row>
    <row r="9">
      <c r="A9" s="2" t="s">
        <v>22</v>
      </c>
      <c r="B9" s="2" t="s">
        <v>23</v>
      </c>
      <c r="C9" s="2">
        <v>1992.0</v>
      </c>
      <c r="D9" s="2" t="s">
        <v>54</v>
      </c>
      <c r="E9" s="2" t="s">
        <v>55</v>
      </c>
      <c r="F9" s="2" t="s">
        <v>26</v>
      </c>
      <c r="G9" s="3">
        <v>43.48</v>
      </c>
      <c r="H9" s="2">
        <v>6.0</v>
      </c>
      <c r="I9" s="2">
        <v>1.0</v>
      </c>
      <c r="J9" s="3">
        <v>10.73</v>
      </c>
      <c r="K9" s="3">
        <v>10.03</v>
      </c>
      <c r="L9" s="3">
        <v>10.6</v>
      </c>
      <c r="M9" s="3">
        <v>12.12</v>
      </c>
      <c r="N9" s="3">
        <v>20.76</v>
      </c>
      <c r="O9" s="3">
        <v>22.72</v>
      </c>
      <c r="P9" s="3">
        <v>1.96</v>
      </c>
      <c r="Q9" s="4">
        <f t="shared" si="1"/>
        <v>24.67801288</v>
      </c>
      <c r="R9" s="4">
        <f t="shared" si="2"/>
        <v>23.06807728</v>
      </c>
      <c r="S9" s="4">
        <f t="shared" si="3"/>
        <v>24.37902484</v>
      </c>
      <c r="T9" s="4">
        <f t="shared" si="4"/>
        <v>27.874885</v>
      </c>
      <c r="U9" s="2" t="s">
        <v>49</v>
      </c>
      <c r="V9" s="2" t="s">
        <v>56</v>
      </c>
    </row>
    <row r="10">
      <c r="A10" s="2" t="s">
        <v>57</v>
      </c>
      <c r="B10" s="2" t="s">
        <v>58</v>
      </c>
      <c r="C10" s="2">
        <v>1995.0</v>
      </c>
      <c r="D10" s="2" t="s">
        <v>59</v>
      </c>
      <c r="E10" s="2" t="s">
        <v>60</v>
      </c>
      <c r="F10" s="2" t="s">
        <v>26</v>
      </c>
      <c r="G10" s="3">
        <v>43.48</v>
      </c>
      <c r="H10" s="2">
        <v>4.0</v>
      </c>
      <c r="I10" s="2">
        <v>1.0</v>
      </c>
      <c r="J10" s="3">
        <v>11.0</v>
      </c>
      <c r="K10" s="3">
        <v>9.96</v>
      </c>
      <c r="L10" s="3">
        <v>10.63</v>
      </c>
      <c r="M10" s="3">
        <v>11.89</v>
      </c>
      <c r="N10" s="3">
        <v>20.96</v>
      </c>
      <c r="O10" s="3">
        <v>22.52</v>
      </c>
      <c r="P10" s="3">
        <v>1.56</v>
      </c>
      <c r="Q10" s="4">
        <f t="shared" si="1"/>
        <v>25.29898804</v>
      </c>
      <c r="R10" s="4">
        <f t="shared" si="2"/>
        <v>22.90708372</v>
      </c>
      <c r="S10" s="4">
        <f t="shared" si="3"/>
        <v>24.44802208</v>
      </c>
      <c r="T10" s="4">
        <f t="shared" si="4"/>
        <v>27.34590616</v>
      </c>
      <c r="U10" s="2" t="s">
        <v>61</v>
      </c>
      <c r="V10" s="2" t="s">
        <v>62</v>
      </c>
    </row>
    <row r="11">
      <c r="A11" s="2" t="s">
        <v>29</v>
      </c>
      <c r="B11" s="2" t="s">
        <v>30</v>
      </c>
      <c r="C11" s="2">
        <v>1967.0</v>
      </c>
      <c r="D11" s="2" t="s">
        <v>63</v>
      </c>
      <c r="E11" s="2" t="s">
        <v>64</v>
      </c>
      <c r="F11" s="2" t="s">
        <v>26</v>
      </c>
      <c r="G11" s="3">
        <v>43.49</v>
      </c>
      <c r="H11" s="2">
        <v>4.0</v>
      </c>
      <c r="I11" s="2">
        <v>1.0</v>
      </c>
      <c r="J11" s="2"/>
      <c r="K11" s="2"/>
      <c r="L11" s="3">
        <v>10.58</v>
      </c>
      <c r="M11" s="3">
        <v>11.69</v>
      </c>
      <c r="N11" s="3">
        <v>21.22</v>
      </c>
      <c r="O11" s="3">
        <v>22.27</v>
      </c>
      <c r="P11" s="3">
        <v>1.05</v>
      </c>
      <c r="Q11" s="2"/>
      <c r="R11" s="2"/>
      <c r="S11" s="4">
        <f t="shared" si="3"/>
        <v>24.32743159</v>
      </c>
      <c r="T11" s="4">
        <f t="shared" si="4"/>
        <v>26.87974247</v>
      </c>
      <c r="U11" s="2" t="s">
        <v>65</v>
      </c>
      <c r="V11" s="2" t="s">
        <v>66</v>
      </c>
    </row>
    <row r="12">
      <c r="A12" s="2" t="s">
        <v>67</v>
      </c>
      <c r="B12" s="2" t="s">
        <v>30</v>
      </c>
      <c r="C12" s="2">
        <v>1970.0</v>
      </c>
      <c r="D12" s="2" t="s">
        <v>68</v>
      </c>
      <c r="E12" s="2" t="s">
        <v>69</v>
      </c>
      <c r="F12" s="2" t="s">
        <v>26</v>
      </c>
      <c r="G12" s="3">
        <v>43.5</v>
      </c>
      <c r="H12" s="2">
        <v>4.0</v>
      </c>
      <c r="I12" s="2">
        <v>1.0</v>
      </c>
      <c r="J12" s="2"/>
      <c r="K12" s="2"/>
      <c r="L12" s="3">
        <v>10.6</v>
      </c>
      <c r="M12" s="3">
        <v>12.1</v>
      </c>
      <c r="N12" s="3">
        <v>20.8</v>
      </c>
      <c r="O12" s="3">
        <v>22.7</v>
      </c>
      <c r="P12" s="3">
        <v>1.9</v>
      </c>
      <c r="Q12" s="2"/>
      <c r="R12" s="2"/>
      <c r="S12" s="4">
        <f t="shared" si="3"/>
        <v>24.36781609</v>
      </c>
      <c r="T12" s="4">
        <f t="shared" si="4"/>
        <v>27.81609195</v>
      </c>
      <c r="U12" s="2" t="s">
        <v>65</v>
      </c>
      <c r="V12" s="2" t="s">
        <v>70</v>
      </c>
    </row>
    <row r="13">
      <c r="A13" s="2" t="s">
        <v>71</v>
      </c>
      <c r="B13" s="2" t="s">
        <v>30</v>
      </c>
      <c r="C13" s="2">
        <v>1997.0</v>
      </c>
      <c r="D13" s="2" t="s">
        <v>72</v>
      </c>
      <c r="E13" s="2" t="s">
        <v>73</v>
      </c>
      <c r="F13" s="2" t="s">
        <v>26</v>
      </c>
      <c r="G13" s="3">
        <v>43.6</v>
      </c>
      <c r="H13" s="2">
        <v>4.0</v>
      </c>
      <c r="I13" s="2">
        <v>1.0</v>
      </c>
      <c r="J13" s="3">
        <v>11.0</v>
      </c>
      <c r="K13" s="3">
        <v>10.33</v>
      </c>
      <c r="L13" s="3">
        <v>10.76</v>
      </c>
      <c r="M13" s="3">
        <v>11.51</v>
      </c>
      <c r="N13" s="3">
        <v>21.33</v>
      </c>
      <c r="O13" s="3">
        <v>22.27</v>
      </c>
      <c r="P13" s="3">
        <v>0.94</v>
      </c>
      <c r="Q13" s="4">
        <f t="shared" ref="Q13:Q29" si="5">J13/G13*100</f>
        <v>25.2293578</v>
      </c>
      <c r="R13" s="4">
        <f t="shared" ref="R13:R29" si="6">K13/G13*100</f>
        <v>23.69266055</v>
      </c>
      <c r="S13" s="4">
        <f t="shared" si="3"/>
        <v>24.67889908</v>
      </c>
      <c r="T13" s="4">
        <f t="shared" si="4"/>
        <v>26.39908257</v>
      </c>
      <c r="U13" s="2"/>
      <c r="V13" s="2" t="s">
        <v>74</v>
      </c>
    </row>
    <row r="14">
      <c r="A14" s="2" t="s">
        <v>29</v>
      </c>
      <c r="B14" s="2" t="s">
        <v>30</v>
      </c>
      <c r="C14" s="2">
        <v>1967.0</v>
      </c>
      <c r="D14" s="2" t="s">
        <v>75</v>
      </c>
      <c r="E14" s="2" t="s">
        <v>76</v>
      </c>
      <c r="F14" s="2" t="s">
        <v>26</v>
      </c>
      <c r="G14" s="3">
        <v>43.65</v>
      </c>
      <c r="H14" s="2">
        <v>3.0</v>
      </c>
      <c r="I14" s="2">
        <v>1.0</v>
      </c>
      <c r="J14" s="3">
        <v>11.28</v>
      </c>
      <c r="K14" s="3">
        <v>10.37</v>
      </c>
      <c r="L14" s="3">
        <v>10.47</v>
      </c>
      <c r="M14" s="3">
        <v>11.53</v>
      </c>
      <c r="N14" s="3">
        <v>21.65</v>
      </c>
      <c r="O14" s="3">
        <v>22.0</v>
      </c>
      <c r="P14" s="3">
        <v>0.35</v>
      </c>
      <c r="Q14" s="4">
        <f t="shared" si="5"/>
        <v>25.8419244</v>
      </c>
      <c r="R14" s="4">
        <f t="shared" si="6"/>
        <v>23.75715922</v>
      </c>
      <c r="S14" s="4">
        <f t="shared" si="3"/>
        <v>23.9862543</v>
      </c>
      <c r="T14" s="4">
        <f t="shared" si="4"/>
        <v>26.41466208</v>
      </c>
      <c r="U14" s="2" t="s">
        <v>40</v>
      </c>
      <c r="V14" s="2" t="s">
        <v>77</v>
      </c>
    </row>
    <row r="15">
      <c r="A15" s="2" t="s">
        <v>78</v>
      </c>
      <c r="B15" s="2" t="s">
        <v>30</v>
      </c>
      <c r="C15" s="2">
        <v>1986.0</v>
      </c>
      <c r="D15" s="2" t="s">
        <v>54</v>
      </c>
      <c r="E15" s="2" t="s">
        <v>55</v>
      </c>
      <c r="F15" s="2" t="s">
        <v>26</v>
      </c>
      <c r="G15" s="3">
        <v>43.65</v>
      </c>
      <c r="H15" s="2">
        <v>8.0</v>
      </c>
      <c r="I15" s="2">
        <v>2.0</v>
      </c>
      <c r="J15" s="3">
        <v>10.73</v>
      </c>
      <c r="K15" s="3">
        <v>10.14</v>
      </c>
      <c r="L15" s="3">
        <v>10.78</v>
      </c>
      <c r="M15" s="3">
        <v>12.0</v>
      </c>
      <c r="N15" s="3">
        <v>20.87</v>
      </c>
      <c r="O15" s="3">
        <v>22.78</v>
      </c>
      <c r="P15" s="3">
        <v>1.91</v>
      </c>
      <c r="Q15" s="4">
        <f t="shared" si="5"/>
        <v>24.58190149</v>
      </c>
      <c r="R15" s="4">
        <f t="shared" si="6"/>
        <v>23.23024055</v>
      </c>
      <c r="S15" s="4">
        <f t="shared" si="3"/>
        <v>24.69644903</v>
      </c>
      <c r="T15" s="4">
        <f t="shared" si="4"/>
        <v>27.49140893</v>
      </c>
      <c r="U15" s="2" t="s">
        <v>45</v>
      </c>
      <c r="V15" s="2" t="s">
        <v>56</v>
      </c>
    </row>
    <row r="16">
      <c r="A16" s="2" t="s">
        <v>79</v>
      </c>
      <c r="B16" s="2" t="s">
        <v>30</v>
      </c>
      <c r="C16" s="2">
        <v>1995.0</v>
      </c>
      <c r="D16" s="2" t="s">
        <v>80</v>
      </c>
      <c r="E16" s="2" t="s">
        <v>81</v>
      </c>
      <c r="F16" s="2" t="s">
        <v>82</v>
      </c>
      <c r="G16" s="3">
        <v>43.7</v>
      </c>
      <c r="H16" s="2"/>
      <c r="I16" s="2">
        <v>1.0</v>
      </c>
      <c r="J16" s="3">
        <v>11.0</v>
      </c>
      <c r="K16" s="3">
        <v>10.1</v>
      </c>
      <c r="L16" s="3">
        <v>10.8</v>
      </c>
      <c r="M16" s="3">
        <v>11.8</v>
      </c>
      <c r="N16" s="3">
        <v>21.1</v>
      </c>
      <c r="O16" s="3">
        <v>22.6</v>
      </c>
      <c r="P16" s="3">
        <v>1.5</v>
      </c>
      <c r="Q16" s="4">
        <f t="shared" si="5"/>
        <v>25.17162471</v>
      </c>
      <c r="R16" s="4">
        <f t="shared" si="6"/>
        <v>23.11212815</v>
      </c>
      <c r="S16" s="4">
        <f t="shared" si="3"/>
        <v>24.71395881</v>
      </c>
      <c r="T16" s="4">
        <f t="shared" si="4"/>
        <v>27.00228833</v>
      </c>
      <c r="U16" s="2" t="s">
        <v>45</v>
      </c>
      <c r="V16" s="2" t="s">
        <v>83</v>
      </c>
    </row>
    <row r="17">
      <c r="A17" s="2" t="s">
        <v>22</v>
      </c>
      <c r="B17" s="2" t="s">
        <v>23</v>
      </c>
      <c r="C17" s="2">
        <v>1992.0</v>
      </c>
      <c r="D17" s="2" t="s">
        <v>84</v>
      </c>
      <c r="E17" s="2" t="s">
        <v>85</v>
      </c>
      <c r="F17" s="2" t="s">
        <v>26</v>
      </c>
      <c r="G17" s="3">
        <v>43.73</v>
      </c>
      <c r="H17" s="2">
        <v>5.0</v>
      </c>
      <c r="I17" s="2">
        <v>1.0</v>
      </c>
      <c r="J17" s="3">
        <v>10.78</v>
      </c>
      <c r="K17" s="3">
        <v>10.13</v>
      </c>
      <c r="L17" s="3">
        <v>11.0</v>
      </c>
      <c r="M17" s="3">
        <v>11.82</v>
      </c>
      <c r="N17" s="3">
        <v>20.91</v>
      </c>
      <c r="O17" s="3">
        <v>22.82</v>
      </c>
      <c r="P17" s="3">
        <v>1.91</v>
      </c>
      <c r="Q17" s="4">
        <f t="shared" si="5"/>
        <v>24.65126915</v>
      </c>
      <c r="R17" s="4">
        <f t="shared" si="6"/>
        <v>23.16487537</v>
      </c>
      <c r="S17" s="4">
        <f t="shared" si="3"/>
        <v>25.15435628</v>
      </c>
      <c r="T17" s="4">
        <f t="shared" si="4"/>
        <v>27.0294992</v>
      </c>
      <c r="U17" s="2"/>
      <c r="V17" s="2" t="s">
        <v>86</v>
      </c>
    </row>
    <row r="18">
      <c r="A18" s="2" t="s">
        <v>78</v>
      </c>
      <c r="B18" s="2" t="s">
        <v>30</v>
      </c>
      <c r="C18" s="2">
        <v>1986.0</v>
      </c>
      <c r="D18" s="2" t="s">
        <v>87</v>
      </c>
      <c r="E18" s="2" t="s">
        <v>88</v>
      </c>
      <c r="F18" s="2" t="s">
        <v>26</v>
      </c>
      <c r="G18" s="3">
        <v>43.74</v>
      </c>
      <c r="H18" s="2">
        <v>6.0</v>
      </c>
      <c r="I18" s="2">
        <v>1.0</v>
      </c>
      <c r="J18" s="3">
        <v>11.1</v>
      </c>
      <c r="K18" s="3">
        <v>10.1</v>
      </c>
      <c r="L18" s="3">
        <v>10.6</v>
      </c>
      <c r="M18" s="3">
        <v>11.9</v>
      </c>
      <c r="N18" s="3">
        <v>21.2</v>
      </c>
      <c r="O18" s="3">
        <v>22.5</v>
      </c>
      <c r="P18" s="3">
        <v>1.3</v>
      </c>
      <c r="Q18" s="4">
        <f t="shared" si="5"/>
        <v>25.37722908</v>
      </c>
      <c r="R18" s="4">
        <f t="shared" si="6"/>
        <v>23.09099223</v>
      </c>
      <c r="S18" s="4">
        <f t="shared" si="3"/>
        <v>24.23411065</v>
      </c>
      <c r="T18" s="4">
        <f t="shared" si="4"/>
        <v>27.20621856</v>
      </c>
      <c r="U18" s="2" t="s">
        <v>45</v>
      </c>
      <c r="V18" s="2" t="s">
        <v>89</v>
      </c>
    </row>
    <row r="19">
      <c r="A19" s="2" t="s">
        <v>47</v>
      </c>
      <c r="B19" s="2" t="s">
        <v>48</v>
      </c>
      <c r="C19" s="2">
        <v>1994.0</v>
      </c>
      <c r="D19" s="2" t="s">
        <v>90</v>
      </c>
      <c r="E19" s="2" t="s">
        <v>91</v>
      </c>
      <c r="F19" s="2" t="s">
        <v>26</v>
      </c>
      <c r="G19" s="3">
        <v>43.74</v>
      </c>
      <c r="H19" s="2">
        <v>5.0</v>
      </c>
      <c r="I19" s="2">
        <v>1.0</v>
      </c>
      <c r="J19" s="3">
        <v>10.88</v>
      </c>
      <c r="K19" s="3">
        <v>10.08</v>
      </c>
      <c r="L19" s="3">
        <v>10.75</v>
      </c>
      <c r="M19" s="3">
        <v>12.03</v>
      </c>
      <c r="N19" s="3">
        <v>20.96</v>
      </c>
      <c r="O19" s="3">
        <v>22.78</v>
      </c>
      <c r="P19" s="3">
        <v>1.82</v>
      </c>
      <c r="Q19" s="4">
        <f t="shared" si="5"/>
        <v>24.87425697</v>
      </c>
      <c r="R19" s="4">
        <f t="shared" si="6"/>
        <v>23.04526749</v>
      </c>
      <c r="S19" s="4">
        <f t="shared" si="3"/>
        <v>24.57704618</v>
      </c>
      <c r="T19" s="4">
        <f t="shared" si="4"/>
        <v>27.50342936</v>
      </c>
      <c r="U19" s="2" t="s">
        <v>49</v>
      </c>
      <c r="V19" s="2" t="s">
        <v>92</v>
      </c>
    </row>
    <row r="20">
      <c r="A20" s="2" t="s">
        <v>93</v>
      </c>
      <c r="B20" s="2" t="s">
        <v>94</v>
      </c>
      <c r="C20" s="2">
        <v>2002.0</v>
      </c>
      <c r="D20" s="2" t="s">
        <v>43</v>
      </c>
      <c r="E20" s="2" t="s">
        <v>44</v>
      </c>
      <c r="F20" s="2" t="s">
        <v>26</v>
      </c>
      <c r="G20" s="3">
        <v>43.74</v>
      </c>
      <c r="H20" s="2">
        <v>7.0</v>
      </c>
      <c r="I20" s="2">
        <v>3.0</v>
      </c>
      <c r="J20" s="3">
        <v>10.87</v>
      </c>
      <c r="K20" s="3">
        <v>10.08</v>
      </c>
      <c r="L20" s="3">
        <v>10.96</v>
      </c>
      <c r="M20" s="3">
        <v>11.83</v>
      </c>
      <c r="N20" s="3">
        <v>20.95</v>
      </c>
      <c r="O20" s="3">
        <v>22.79</v>
      </c>
      <c r="P20" s="3">
        <v>1.84</v>
      </c>
      <c r="Q20" s="4">
        <f t="shared" si="5"/>
        <v>24.8513946</v>
      </c>
      <c r="R20" s="4">
        <f t="shared" si="6"/>
        <v>23.04526749</v>
      </c>
      <c r="S20" s="4">
        <f t="shared" si="3"/>
        <v>25.05715592</v>
      </c>
      <c r="T20" s="4">
        <f t="shared" si="4"/>
        <v>27.04618198</v>
      </c>
      <c r="U20" s="2" t="s">
        <v>61</v>
      </c>
      <c r="V20" s="2" t="s">
        <v>46</v>
      </c>
    </row>
    <row r="21" ht="15.75" customHeight="1">
      <c r="A21" s="2" t="s">
        <v>78</v>
      </c>
      <c r="B21" s="2" t="s">
        <v>30</v>
      </c>
      <c r="C21" s="2">
        <v>1986.0</v>
      </c>
      <c r="D21" s="2" t="s">
        <v>95</v>
      </c>
      <c r="E21" s="2" t="s">
        <v>96</v>
      </c>
      <c r="F21" s="2" t="s">
        <v>26</v>
      </c>
      <c r="G21" s="3">
        <v>43.75</v>
      </c>
      <c r="H21" s="2">
        <v>4.0</v>
      </c>
      <c r="I21" s="2">
        <v>1.0</v>
      </c>
      <c r="J21" s="3">
        <v>10.99</v>
      </c>
      <c r="K21" s="3">
        <v>10.03</v>
      </c>
      <c r="L21" s="3">
        <v>10.76</v>
      </c>
      <c r="M21" s="3">
        <v>11.97</v>
      </c>
      <c r="N21" s="3">
        <v>21.02</v>
      </c>
      <c r="O21" s="3">
        <v>22.73</v>
      </c>
      <c r="P21" s="3">
        <v>1.71</v>
      </c>
      <c r="Q21" s="4">
        <f t="shared" si="5"/>
        <v>25.12</v>
      </c>
      <c r="R21" s="4">
        <f t="shared" si="6"/>
        <v>22.92571429</v>
      </c>
      <c r="S21" s="4">
        <f t="shared" si="3"/>
        <v>24.59428571</v>
      </c>
      <c r="T21" s="4">
        <f t="shared" si="4"/>
        <v>27.36</v>
      </c>
      <c r="U21" s="2" t="s">
        <v>45</v>
      </c>
      <c r="V21" s="2" t="s">
        <v>97</v>
      </c>
    </row>
    <row r="22" ht="15.75" customHeight="1">
      <c r="A22" s="2" t="s">
        <v>98</v>
      </c>
      <c r="B22" s="2" t="s">
        <v>99</v>
      </c>
      <c r="C22" s="2">
        <v>1992.0</v>
      </c>
      <c r="D22" s="2" t="s">
        <v>24</v>
      </c>
      <c r="E22" s="2" t="s">
        <v>25</v>
      </c>
      <c r="F22" s="2" t="s">
        <v>26</v>
      </c>
      <c r="G22" s="3">
        <v>43.76</v>
      </c>
      <c r="H22" s="2">
        <v>6.0</v>
      </c>
      <c r="I22" s="2">
        <v>2.0</v>
      </c>
      <c r="J22" s="3">
        <v>10.78</v>
      </c>
      <c r="K22" s="3">
        <v>9.83</v>
      </c>
      <c r="L22" s="3">
        <v>10.66</v>
      </c>
      <c r="M22" s="3">
        <v>12.49</v>
      </c>
      <c r="N22" s="3">
        <v>20.61</v>
      </c>
      <c r="O22" s="3">
        <v>23.15</v>
      </c>
      <c r="P22" s="3">
        <v>2.54</v>
      </c>
      <c r="Q22" s="4">
        <f t="shared" si="5"/>
        <v>24.63436929</v>
      </c>
      <c r="R22" s="4">
        <f t="shared" si="6"/>
        <v>22.46343693</v>
      </c>
      <c r="S22" s="4">
        <f t="shared" si="3"/>
        <v>24.36014625</v>
      </c>
      <c r="T22" s="4">
        <f t="shared" si="4"/>
        <v>28.54204753</v>
      </c>
      <c r="U22" s="2"/>
      <c r="V22" s="2" t="s">
        <v>28</v>
      </c>
    </row>
    <row r="23" ht="15.75" customHeight="1">
      <c r="A23" s="2" t="s">
        <v>98</v>
      </c>
      <c r="B23" s="2" t="s">
        <v>99</v>
      </c>
      <c r="C23" s="2">
        <v>1992.0</v>
      </c>
      <c r="D23" s="2" t="s">
        <v>54</v>
      </c>
      <c r="E23" s="2" t="s">
        <v>55</v>
      </c>
      <c r="F23" s="2" t="s">
        <v>26</v>
      </c>
      <c r="G23" s="3">
        <v>43.78</v>
      </c>
      <c r="H23" s="2">
        <v>5.0</v>
      </c>
      <c r="I23" s="2">
        <v>3.0</v>
      </c>
      <c r="J23" s="3">
        <v>10.99</v>
      </c>
      <c r="K23" s="3">
        <v>10.01</v>
      </c>
      <c r="L23" s="3">
        <v>10.73</v>
      </c>
      <c r="M23" s="3">
        <v>12.05</v>
      </c>
      <c r="N23" s="3">
        <v>21.0</v>
      </c>
      <c r="O23" s="3">
        <v>22.78</v>
      </c>
      <c r="P23" s="3">
        <v>1.78</v>
      </c>
      <c r="Q23" s="4">
        <f t="shared" si="5"/>
        <v>25.10278666</v>
      </c>
      <c r="R23" s="4">
        <f t="shared" si="6"/>
        <v>22.86432161</v>
      </c>
      <c r="S23" s="4">
        <f t="shared" si="3"/>
        <v>24.50890818</v>
      </c>
      <c r="T23" s="4">
        <f t="shared" si="4"/>
        <v>27.52398355</v>
      </c>
      <c r="U23" s="2"/>
      <c r="V23" s="2" t="s">
        <v>56</v>
      </c>
    </row>
    <row r="24" ht="15.75" customHeight="1">
      <c r="A24" s="2" t="s">
        <v>100</v>
      </c>
      <c r="B24" s="2" t="s">
        <v>101</v>
      </c>
      <c r="C24" s="2">
        <v>1994.0</v>
      </c>
      <c r="D24" s="2" t="s">
        <v>43</v>
      </c>
      <c r="E24" s="2" t="s">
        <v>44</v>
      </c>
      <c r="F24" s="2" t="s">
        <v>26</v>
      </c>
      <c r="G24" s="3">
        <v>43.78</v>
      </c>
      <c r="H24" s="2">
        <v>9.0</v>
      </c>
      <c r="I24" s="2">
        <v>4.0</v>
      </c>
      <c r="J24" s="3">
        <v>10.69</v>
      </c>
      <c r="K24" s="3">
        <v>9.77</v>
      </c>
      <c r="L24" s="3">
        <v>10.96</v>
      </c>
      <c r="M24" s="3">
        <v>12.36</v>
      </c>
      <c r="N24" s="3">
        <v>20.46</v>
      </c>
      <c r="O24" s="3">
        <v>23.32</v>
      </c>
      <c r="P24" s="3">
        <v>2.86</v>
      </c>
      <c r="Q24" s="4">
        <f t="shared" si="5"/>
        <v>24.41754226</v>
      </c>
      <c r="R24" s="4">
        <f t="shared" si="6"/>
        <v>22.31612608</v>
      </c>
      <c r="S24" s="4">
        <f t="shared" si="3"/>
        <v>25.03426222</v>
      </c>
      <c r="T24" s="4">
        <f t="shared" si="4"/>
        <v>28.23206944</v>
      </c>
      <c r="U24" s="2" t="s">
        <v>61</v>
      </c>
      <c r="V24" s="2" t="s">
        <v>46</v>
      </c>
    </row>
    <row r="25" ht="15.75" customHeight="1">
      <c r="A25" s="2" t="s">
        <v>102</v>
      </c>
      <c r="B25" s="2" t="s">
        <v>30</v>
      </c>
      <c r="C25" s="2">
        <v>1969.0</v>
      </c>
      <c r="D25" s="2" t="s">
        <v>103</v>
      </c>
      <c r="E25" s="2" t="s">
        <v>104</v>
      </c>
      <c r="F25" s="2" t="s">
        <v>26</v>
      </c>
      <c r="G25" s="3">
        <v>43.87</v>
      </c>
      <c r="H25" s="2">
        <v>6.0</v>
      </c>
      <c r="I25" s="2">
        <v>1.0</v>
      </c>
      <c r="J25" s="3">
        <v>11.26</v>
      </c>
      <c r="K25" s="3">
        <v>10.15</v>
      </c>
      <c r="L25" s="3">
        <v>10.72</v>
      </c>
      <c r="M25" s="3">
        <v>11.74</v>
      </c>
      <c r="N25" s="3">
        <v>21.41</v>
      </c>
      <c r="O25" s="3">
        <v>22.46</v>
      </c>
      <c r="P25" s="3">
        <v>1.05</v>
      </c>
      <c r="Q25" s="4">
        <f t="shared" si="5"/>
        <v>25.66674265</v>
      </c>
      <c r="R25" s="4">
        <f t="shared" si="6"/>
        <v>23.13653978</v>
      </c>
      <c r="S25" s="4">
        <f t="shared" si="3"/>
        <v>24.43583314</v>
      </c>
      <c r="T25" s="4">
        <f t="shared" si="4"/>
        <v>26.76088443</v>
      </c>
      <c r="U25" s="2" t="s">
        <v>105</v>
      </c>
      <c r="V25" s="2" t="s">
        <v>106</v>
      </c>
    </row>
    <row r="26" ht="15.75" customHeight="1">
      <c r="A26" s="2" t="s">
        <v>107</v>
      </c>
      <c r="B26" s="2" t="s">
        <v>30</v>
      </c>
      <c r="C26" s="2">
        <v>1947.0</v>
      </c>
      <c r="D26" s="2" t="s">
        <v>108</v>
      </c>
      <c r="E26" s="2" t="s">
        <v>109</v>
      </c>
      <c r="F26" s="2" t="s">
        <v>26</v>
      </c>
      <c r="G26" s="3">
        <v>43.86</v>
      </c>
      <c r="H26" s="2">
        <v>6.0</v>
      </c>
      <c r="I26" s="2">
        <v>1.0</v>
      </c>
      <c r="J26" s="3">
        <v>10.7</v>
      </c>
      <c r="K26" s="3">
        <v>10.4</v>
      </c>
      <c r="L26" s="3">
        <v>11.1</v>
      </c>
      <c r="M26" s="3">
        <v>11.6</v>
      </c>
      <c r="N26" s="3">
        <v>21.1</v>
      </c>
      <c r="O26" s="3">
        <v>22.7</v>
      </c>
      <c r="P26" s="3">
        <v>1.6</v>
      </c>
      <c r="Q26" s="4">
        <f t="shared" si="5"/>
        <v>24.39580483</v>
      </c>
      <c r="R26" s="4">
        <f t="shared" si="6"/>
        <v>23.71181031</v>
      </c>
      <c r="S26" s="4">
        <f t="shared" si="3"/>
        <v>25.30779754</v>
      </c>
      <c r="T26" s="4">
        <f t="shared" si="4"/>
        <v>26.44778842</v>
      </c>
      <c r="U26" s="2" t="s">
        <v>27</v>
      </c>
      <c r="V26" s="2" t="s">
        <v>110</v>
      </c>
    </row>
    <row r="27" ht="15.75" customHeight="1">
      <c r="A27" s="2" t="s">
        <v>50</v>
      </c>
      <c r="B27" s="2" t="s">
        <v>30</v>
      </c>
      <c r="C27" s="2">
        <v>1984.0</v>
      </c>
      <c r="D27" s="2" t="s">
        <v>111</v>
      </c>
      <c r="E27" s="2" t="s">
        <v>112</v>
      </c>
      <c r="F27" s="2" t="s">
        <v>26</v>
      </c>
      <c r="G27" s="3">
        <v>43.93</v>
      </c>
      <c r="H27" s="2">
        <v>3.0</v>
      </c>
      <c r="I27" s="2">
        <v>1.0</v>
      </c>
      <c r="J27" s="3">
        <v>10.7</v>
      </c>
      <c r="K27" s="3">
        <v>10.3</v>
      </c>
      <c r="L27" s="3">
        <v>10.8</v>
      </c>
      <c r="M27" s="3">
        <v>12.13</v>
      </c>
      <c r="N27" s="3">
        <v>21.0</v>
      </c>
      <c r="O27" s="3">
        <v>22.93</v>
      </c>
      <c r="P27" s="3">
        <v>1.93</v>
      </c>
      <c r="Q27" s="4">
        <f t="shared" si="5"/>
        <v>24.35693148</v>
      </c>
      <c r="R27" s="4">
        <f t="shared" si="6"/>
        <v>23.44639199</v>
      </c>
      <c r="S27" s="4">
        <f t="shared" si="3"/>
        <v>24.58456636</v>
      </c>
      <c r="T27" s="4">
        <f t="shared" si="4"/>
        <v>27.61211018</v>
      </c>
      <c r="U27" s="2" t="s">
        <v>45</v>
      </c>
      <c r="V27" s="2" t="s">
        <v>113</v>
      </c>
    </row>
    <row r="28" ht="15.75" customHeight="1">
      <c r="A28" s="2" t="s">
        <v>78</v>
      </c>
      <c r="B28" s="2" t="s">
        <v>30</v>
      </c>
      <c r="C28" s="2">
        <v>1986.0</v>
      </c>
      <c r="D28" s="2" t="s">
        <v>51</v>
      </c>
      <c r="E28" s="2" t="s">
        <v>52</v>
      </c>
      <c r="F28" s="2" t="s">
        <v>26</v>
      </c>
      <c r="G28" s="3">
        <v>43.96</v>
      </c>
      <c r="H28" s="2">
        <v>5.0</v>
      </c>
      <c r="I28" s="2">
        <v>2.0</v>
      </c>
      <c r="J28" s="3">
        <v>10.76</v>
      </c>
      <c r="K28" s="3">
        <v>10.14</v>
      </c>
      <c r="L28" s="3">
        <v>10.82</v>
      </c>
      <c r="M28" s="3">
        <v>12.24</v>
      </c>
      <c r="N28" s="3">
        <v>20.9</v>
      </c>
      <c r="O28" s="3">
        <v>23.06</v>
      </c>
      <c r="P28" s="3">
        <v>2.16</v>
      </c>
      <c r="Q28" s="4">
        <f t="shared" si="5"/>
        <v>24.47679709</v>
      </c>
      <c r="R28" s="4">
        <f t="shared" si="6"/>
        <v>23.06642402</v>
      </c>
      <c r="S28" s="4">
        <f t="shared" si="3"/>
        <v>24.6132848</v>
      </c>
      <c r="T28" s="4">
        <f t="shared" si="4"/>
        <v>27.84349409</v>
      </c>
      <c r="U28" s="2" t="s">
        <v>45</v>
      </c>
      <c r="V28" s="2" t="s">
        <v>53</v>
      </c>
    </row>
    <row r="29" ht="15.75" customHeight="1">
      <c r="A29" s="2" t="s">
        <v>57</v>
      </c>
      <c r="B29" s="2" t="s">
        <v>58</v>
      </c>
      <c r="C29" s="2">
        <v>1995.0</v>
      </c>
      <c r="D29" s="2" t="s">
        <v>114</v>
      </c>
      <c r="E29" s="2" t="s">
        <v>115</v>
      </c>
      <c r="F29" s="2" t="s">
        <v>26</v>
      </c>
      <c r="G29" s="3">
        <v>43.85</v>
      </c>
      <c r="H29" s="2">
        <v>7.0</v>
      </c>
      <c r="I29" s="2">
        <v>1.0</v>
      </c>
      <c r="J29" s="3">
        <v>11.15</v>
      </c>
      <c r="K29" s="3">
        <v>9.85</v>
      </c>
      <c r="L29" s="3">
        <v>10.83</v>
      </c>
      <c r="M29" s="3">
        <v>12.02</v>
      </c>
      <c r="N29" s="3">
        <v>21.0</v>
      </c>
      <c r="O29" s="3">
        <v>22.85</v>
      </c>
      <c r="P29" s="3">
        <v>1.85</v>
      </c>
      <c r="Q29" s="4">
        <f t="shared" si="5"/>
        <v>25.42759407</v>
      </c>
      <c r="R29" s="4">
        <f t="shared" si="6"/>
        <v>22.46294185</v>
      </c>
      <c r="S29" s="4">
        <f t="shared" si="3"/>
        <v>24.69783352</v>
      </c>
      <c r="T29" s="4">
        <f t="shared" si="4"/>
        <v>27.41163056</v>
      </c>
      <c r="U29" s="2"/>
      <c r="V29" s="2" t="s">
        <v>74</v>
      </c>
    </row>
    <row r="30" ht="15.75" customHeight="1">
      <c r="A30" s="2" t="s">
        <v>98</v>
      </c>
      <c r="B30" s="2" t="s">
        <v>99</v>
      </c>
      <c r="C30" s="2">
        <v>1992.0</v>
      </c>
      <c r="D30" s="2" t="s">
        <v>116</v>
      </c>
      <c r="E30" s="2" t="s">
        <v>117</v>
      </c>
      <c r="F30" s="2" t="s">
        <v>26</v>
      </c>
      <c r="G30" s="3">
        <v>43.94</v>
      </c>
      <c r="H30" s="2">
        <v>5.0</v>
      </c>
      <c r="I30" s="2">
        <v>1.0</v>
      </c>
      <c r="J30" s="2"/>
      <c r="K30" s="2"/>
      <c r="L30" s="3">
        <v>10.7</v>
      </c>
      <c r="M30" s="3">
        <v>11.9</v>
      </c>
      <c r="N30" s="3">
        <v>21.3</v>
      </c>
      <c r="O30" s="3">
        <v>22.6</v>
      </c>
      <c r="P30" s="3">
        <v>1.3</v>
      </c>
      <c r="Q30" s="2"/>
      <c r="R30" s="2"/>
      <c r="S30" s="4">
        <f t="shared" si="3"/>
        <v>24.35138826</v>
      </c>
      <c r="T30" s="4">
        <f t="shared" si="4"/>
        <v>27.08238507</v>
      </c>
      <c r="U30" s="2" t="s">
        <v>49</v>
      </c>
      <c r="V30" s="2" t="s">
        <v>70</v>
      </c>
    </row>
    <row r="31" ht="15.75" customHeight="1">
      <c r="A31" s="2" t="s">
        <v>78</v>
      </c>
      <c r="B31" s="2" t="s">
        <v>30</v>
      </c>
      <c r="C31" s="2">
        <v>1986.0</v>
      </c>
      <c r="D31" s="2" t="s">
        <v>118</v>
      </c>
      <c r="E31" s="2" t="s">
        <v>119</v>
      </c>
      <c r="F31" s="2" t="s">
        <v>26</v>
      </c>
      <c r="G31" s="3">
        <v>44.06</v>
      </c>
      <c r="H31" s="2">
        <v>4.0</v>
      </c>
      <c r="I31" s="2">
        <v>1.0</v>
      </c>
      <c r="J31" s="3">
        <v>11.14</v>
      </c>
      <c r="K31" s="3">
        <v>10.35</v>
      </c>
      <c r="L31" s="3">
        <v>10.81</v>
      </c>
      <c r="M31" s="3">
        <v>11.76</v>
      </c>
      <c r="N31" s="3">
        <v>21.49</v>
      </c>
      <c r="O31" s="3">
        <v>22.57</v>
      </c>
      <c r="P31" s="3">
        <v>1.08</v>
      </c>
      <c r="Q31" s="4">
        <f t="shared" ref="Q31:Q34" si="7">J31/G31*100</f>
        <v>25.28370404</v>
      </c>
      <c r="R31" s="4">
        <f t="shared" ref="R31:R34" si="8">K31/G31*100</f>
        <v>23.49069451</v>
      </c>
      <c r="S31" s="4">
        <f t="shared" si="3"/>
        <v>24.53472537</v>
      </c>
      <c r="T31" s="4">
        <f t="shared" si="4"/>
        <v>26.69087608</v>
      </c>
      <c r="U31" s="2"/>
      <c r="V31" s="2" t="s">
        <v>120</v>
      </c>
    </row>
    <row r="32" ht="15.75" customHeight="1">
      <c r="A32" s="2" t="s">
        <v>121</v>
      </c>
      <c r="B32" s="2" t="s">
        <v>30</v>
      </c>
      <c r="C32" s="2">
        <v>1995.0</v>
      </c>
      <c r="D32" s="2" t="s">
        <v>122</v>
      </c>
      <c r="E32" s="2" t="s">
        <v>123</v>
      </c>
      <c r="F32" s="2" t="s">
        <v>26</v>
      </c>
      <c r="G32" s="3">
        <v>44.03</v>
      </c>
      <c r="H32" s="2">
        <v>5.0</v>
      </c>
      <c r="I32" s="2">
        <v>1.0</v>
      </c>
      <c r="J32" s="3">
        <v>11.1</v>
      </c>
      <c r="K32" s="3">
        <v>10.2</v>
      </c>
      <c r="L32" s="3">
        <v>10.9</v>
      </c>
      <c r="M32" s="3">
        <v>11.83</v>
      </c>
      <c r="N32" s="3">
        <v>21.3</v>
      </c>
      <c r="O32" s="3">
        <v>22.73</v>
      </c>
      <c r="P32" s="3">
        <v>1.43</v>
      </c>
      <c r="Q32" s="4">
        <f t="shared" si="7"/>
        <v>25.21008403</v>
      </c>
      <c r="R32" s="4">
        <f t="shared" si="8"/>
        <v>23.16602317</v>
      </c>
      <c r="S32" s="4">
        <f t="shared" si="3"/>
        <v>24.75584829</v>
      </c>
      <c r="T32" s="4">
        <f t="shared" si="4"/>
        <v>26.86804452</v>
      </c>
      <c r="U32" s="2" t="s">
        <v>45</v>
      </c>
      <c r="V32" s="2" t="s">
        <v>124</v>
      </c>
    </row>
    <row r="33" ht="15.75" customHeight="1">
      <c r="A33" s="2" t="s">
        <v>125</v>
      </c>
      <c r="B33" s="2" t="s">
        <v>126</v>
      </c>
      <c r="C33" s="2">
        <v>1998.0</v>
      </c>
      <c r="D33" s="2" t="s">
        <v>114</v>
      </c>
      <c r="E33" s="2" t="s">
        <v>115</v>
      </c>
      <c r="F33" s="2" t="s">
        <v>26</v>
      </c>
      <c r="G33" s="3">
        <v>44.08</v>
      </c>
      <c r="H33" s="2">
        <v>5.0</v>
      </c>
      <c r="I33" s="2">
        <v>2.0</v>
      </c>
      <c r="J33" s="3">
        <v>11.08</v>
      </c>
      <c r="K33" s="3">
        <v>10.13</v>
      </c>
      <c r="L33" s="3">
        <v>10.86</v>
      </c>
      <c r="M33" s="3">
        <v>12.01</v>
      </c>
      <c r="N33" s="3">
        <v>21.21</v>
      </c>
      <c r="O33" s="3">
        <v>22.87</v>
      </c>
      <c r="P33" s="3">
        <v>1.66</v>
      </c>
      <c r="Q33" s="4">
        <f t="shared" si="7"/>
        <v>25.13611615</v>
      </c>
      <c r="R33" s="4">
        <f t="shared" si="8"/>
        <v>22.98094374</v>
      </c>
      <c r="S33" s="4">
        <f t="shared" si="3"/>
        <v>24.63702359</v>
      </c>
      <c r="T33" s="4">
        <f t="shared" si="4"/>
        <v>27.24591652</v>
      </c>
      <c r="U33" s="2"/>
      <c r="V33" s="2" t="s">
        <v>74</v>
      </c>
    </row>
    <row r="34" ht="15.75" customHeight="1">
      <c r="A34" s="2" t="s">
        <v>127</v>
      </c>
      <c r="B34" s="2" t="s">
        <v>128</v>
      </c>
      <c r="C34" s="2">
        <v>2001.0</v>
      </c>
      <c r="D34" s="2" t="s">
        <v>129</v>
      </c>
      <c r="E34" s="2" t="s">
        <v>130</v>
      </c>
      <c r="F34" s="2" t="s">
        <v>26</v>
      </c>
      <c r="G34" s="3">
        <v>44.22</v>
      </c>
      <c r="H34" s="2">
        <v>7.0</v>
      </c>
      <c r="I34" s="2">
        <v>1.0</v>
      </c>
      <c r="J34" s="3">
        <v>11.18</v>
      </c>
      <c r="K34" s="3">
        <v>10.1</v>
      </c>
      <c r="L34" s="2"/>
      <c r="M34" s="2"/>
      <c r="N34" s="3">
        <v>21.28</v>
      </c>
      <c r="O34" s="3">
        <v>22.94</v>
      </c>
      <c r="P34" s="3">
        <v>1.66</v>
      </c>
      <c r="Q34" s="4">
        <f t="shared" si="7"/>
        <v>25.28267752</v>
      </c>
      <c r="R34" s="4">
        <f t="shared" si="8"/>
        <v>22.84034374</v>
      </c>
      <c r="S34" s="2"/>
      <c r="T34" s="2"/>
      <c r="U34" s="2"/>
      <c r="V34" s="2" t="s">
        <v>131</v>
      </c>
    </row>
    <row r="35" ht="15.75" customHeight="1">
      <c r="A35" s="2" t="s">
        <v>50</v>
      </c>
      <c r="B35" s="2" t="s">
        <v>30</v>
      </c>
      <c r="C35" s="2">
        <v>1984.0</v>
      </c>
      <c r="D35" s="2" t="s">
        <v>132</v>
      </c>
      <c r="E35" s="2" t="s">
        <v>133</v>
      </c>
      <c r="F35" s="2" t="s">
        <v>26</v>
      </c>
      <c r="G35" s="3">
        <v>44.0</v>
      </c>
      <c r="H35" s="2">
        <v>4.0</v>
      </c>
      <c r="I35" s="2">
        <v>1.0</v>
      </c>
      <c r="J35" s="2"/>
      <c r="K35" s="2"/>
      <c r="L35" s="3">
        <v>10.7</v>
      </c>
      <c r="M35" s="3">
        <v>11.8</v>
      </c>
      <c r="N35" s="3">
        <v>21.5</v>
      </c>
      <c r="O35" s="3">
        <v>22.5</v>
      </c>
      <c r="P35" s="3">
        <v>1.0</v>
      </c>
      <c r="Q35" s="2"/>
      <c r="R35" s="2"/>
      <c r="S35" s="4">
        <f t="shared" ref="S35:S40" si="9">L35/G35*100</f>
        <v>24.31818182</v>
      </c>
      <c r="T35" s="4">
        <f t="shared" ref="T35:T40" si="10">M35/G35*100</f>
        <v>26.81818182</v>
      </c>
      <c r="U35" s="2" t="s">
        <v>45</v>
      </c>
      <c r="V35" s="2" t="s">
        <v>70</v>
      </c>
    </row>
    <row r="36" ht="15.75" customHeight="1">
      <c r="A36" s="2" t="s">
        <v>134</v>
      </c>
      <c r="B36" s="2" t="s">
        <v>30</v>
      </c>
      <c r="C36" s="2">
        <v>1966.0</v>
      </c>
      <c r="D36" s="2" t="s">
        <v>103</v>
      </c>
      <c r="E36" s="2" t="s">
        <v>104</v>
      </c>
      <c r="F36" s="2" t="s">
        <v>26</v>
      </c>
      <c r="G36" s="3">
        <v>44.09</v>
      </c>
      <c r="H36" s="2">
        <v>4.0</v>
      </c>
      <c r="I36" s="2">
        <v>3.0</v>
      </c>
      <c r="J36" s="3">
        <v>11.03</v>
      </c>
      <c r="K36" s="3">
        <v>10.34</v>
      </c>
      <c r="L36" s="3">
        <v>10.81</v>
      </c>
      <c r="M36" s="3">
        <v>11.91</v>
      </c>
      <c r="N36" s="3">
        <v>21.37</v>
      </c>
      <c r="O36" s="3">
        <v>22.72</v>
      </c>
      <c r="P36" s="3">
        <v>1.35</v>
      </c>
      <c r="Q36" s="4">
        <f t="shared" ref="Q36:Q40" si="11">J36/G36*100</f>
        <v>25.01701066</v>
      </c>
      <c r="R36" s="4">
        <f t="shared" ref="R36:R40" si="12">K36/G36*100</f>
        <v>23.45202994</v>
      </c>
      <c r="S36" s="4">
        <f t="shared" si="9"/>
        <v>24.5180313</v>
      </c>
      <c r="T36" s="4">
        <f t="shared" si="10"/>
        <v>27.0129281</v>
      </c>
      <c r="U36" s="2"/>
      <c r="V36" s="2" t="s">
        <v>106</v>
      </c>
    </row>
    <row r="37" ht="15.75" customHeight="1">
      <c r="A37" s="2" t="s">
        <v>34</v>
      </c>
      <c r="B37" s="2" t="s">
        <v>30</v>
      </c>
      <c r="C37" s="2">
        <v>1964.0</v>
      </c>
      <c r="D37" s="2" t="s">
        <v>103</v>
      </c>
      <c r="E37" s="2" t="s">
        <v>104</v>
      </c>
      <c r="F37" s="2" t="s">
        <v>26</v>
      </c>
      <c r="G37" s="3">
        <v>43.93</v>
      </c>
      <c r="H37" s="2">
        <v>3.0</v>
      </c>
      <c r="I37" s="2">
        <v>2.0</v>
      </c>
      <c r="J37" s="3">
        <v>11.29</v>
      </c>
      <c r="K37" s="3">
        <v>10.39</v>
      </c>
      <c r="L37" s="3">
        <v>10.9</v>
      </c>
      <c r="M37" s="3">
        <v>11.35</v>
      </c>
      <c r="N37" s="3">
        <v>21.68</v>
      </c>
      <c r="O37" s="3">
        <v>22.25</v>
      </c>
      <c r="P37" s="3">
        <v>0.57</v>
      </c>
      <c r="Q37" s="4">
        <f t="shared" si="11"/>
        <v>25.69997724</v>
      </c>
      <c r="R37" s="4">
        <f t="shared" si="12"/>
        <v>23.65126337</v>
      </c>
      <c r="S37" s="4">
        <f t="shared" si="9"/>
        <v>24.81220123</v>
      </c>
      <c r="T37" s="4">
        <f t="shared" si="10"/>
        <v>25.83655816</v>
      </c>
      <c r="U37" s="2"/>
      <c r="V37" s="2" t="s">
        <v>106</v>
      </c>
    </row>
    <row r="38" ht="15.75" customHeight="1">
      <c r="A38" s="2" t="s">
        <v>135</v>
      </c>
      <c r="B38" s="2" t="s">
        <v>30</v>
      </c>
      <c r="C38" s="2">
        <v>1992.0</v>
      </c>
      <c r="D38" s="2" t="s">
        <v>90</v>
      </c>
      <c r="E38" s="2" t="s">
        <v>91</v>
      </c>
      <c r="F38" s="2" t="s">
        <v>26</v>
      </c>
      <c r="G38" s="3">
        <v>44.1</v>
      </c>
      <c r="H38" s="2">
        <v>4.0</v>
      </c>
      <c r="I38" s="2">
        <v>2.0</v>
      </c>
      <c r="J38" s="3">
        <v>11.09</v>
      </c>
      <c r="K38" s="3">
        <v>10.22</v>
      </c>
      <c r="L38" s="3">
        <v>10.87</v>
      </c>
      <c r="M38" s="3">
        <v>11.92</v>
      </c>
      <c r="N38" s="3">
        <v>21.31</v>
      </c>
      <c r="O38" s="3">
        <v>22.79</v>
      </c>
      <c r="P38" s="3">
        <v>1.48</v>
      </c>
      <c r="Q38" s="4">
        <f t="shared" si="11"/>
        <v>25.14739229</v>
      </c>
      <c r="R38" s="4">
        <f t="shared" si="12"/>
        <v>23.17460317</v>
      </c>
      <c r="S38" s="4">
        <f t="shared" si="9"/>
        <v>24.64852608</v>
      </c>
      <c r="T38" s="4">
        <f t="shared" si="10"/>
        <v>27.02947846</v>
      </c>
      <c r="U38" s="2" t="s">
        <v>45</v>
      </c>
      <c r="V38" s="2" t="s">
        <v>92</v>
      </c>
    </row>
    <row r="39" ht="15.75" customHeight="1">
      <c r="A39" s="2" t="s">
        <v>136</v>
      </c>
      <c r="B39" s="2" t="s">
        <v>137</v>
      </c>
      <c r="C39" s="2">
        <v>2004.0</v>
      </c>
      <c r="D39" s="2" t="s">
        <v>138</v>
      </c>
      <c r="E39" s="2" t="s">
        <v>139</v>
      </c>
      <c r="F39" s="2" t="s">
        <v>26</v>
      </c>
      <c r="G39" s="3">
        <v>44.22</v>
      </c>
      <c r="H39" s="2">
        <v>3.0</v>
      </c>
      <c r="I39" s="2">
        <v>3.0</v>
      </c>
      <c r="J39" s="3">
        <v>10.85</v>
      </c>
      <c r="K39" s="3">
        <v>10.25</v>
      </c>
      <c r="L39" s="3">
        <v>11.12</v>
      </c>
      <c r="M39" s="3">
        <v>12.0</v>
      </c>
      <c r="N39" s="3">
        <v>21.1</v>
      </c>
      <c r="O39" s="3">
        <v>23.12</v>
      </c>
      <c r="P39" s="3">
        <v>2.02</v>
      </c>
      <c r="Q39" s="4">
        <f t="shared" si="11"/>
        <v>24.53640886</v>
      </c>
      <c r="R39" s="4">
        <f t="shared" si="12"/>
        <v>23.17955676</v>
      </c>
      <c r="S39" s="4">
        <f t="shared" si="9"/>
        <v>25.14699231</v>
      </c>
      <c r="T39" s="4">
        <f t="shared" si="10"/>
        <v>27.13704206</v>
      </c>
      <c r="U39" s="2" t="s">
        <v>45</v>
      </c>
      <c r="V39" s="2" t="s">
        <v>92</v>
      </c>
    </row>
    <row r="40" ht="15.75" customHeight="1">
      <c r="A40" s="2" t="s">
        <v>140</v>
      </c>
      <c r="B40" s="2" t="s">
        <v>141</v>
      </c>
      <c r="C40" s="2">
        <v>1997.0</v>
      </c>
      <c r="D40" s="2" t="s">
        <v>142</v>
      </c>
      <c r="E40" s="2" t="s">
        <v>91</v>
      </c>
      <c r="F40" s="2" t="s">
        <v>26</v>
      </c>
      <c r="G40" s="3">
        <v>44.07</v>
      </c>
      <c r="H40" s="2">
        <v>4.0</v>
      </c>
      <c r="I40" s="2">
        <v>1.0</v>
      </c>
      <c r="J40" s="3">
        <v>11.3</v>
      </c>
      <c r="K40" s="3">
        <v>10.2</v>
      </c>
      <c r="L40" s="3">
        <v>11.0</v>
      </c>
      <c r="M40" s="3">
        <v>11.57</v>
      </c>
      <c r="N40" s="3">
        <v>21.5</v>
      </c>
      <c r="O40" s="3">
        <v>22.57</v>
      </c>
      <c r="P40" s="3">
        <v>1.07</v>
      </c>
      <c r="Q40" s="4">
        <f t="shared" si="11"/>
        <v>25.64102564</v>
      </c>
      <c r="R40" s="4">
        <f t="shared" si="12"/>
        <v>23.1449966</v>
      </c>
      <c r="S40" s="4">
        <f t="shared" si="9"/>
        <v>24.96029045</v>
      </c>
      <c r="T40" s="4">
        <f t="shared" si="10"/>
        <v>26.25368732</v>
      </c>
      <c r="U40" s="2" t="s">
        <v>143</v>
      </c>
      <c r="V40" s="2" t="s">
        <v>144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40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8.0"/>
    <col customWidth="1" min="3" max="3" width="10.0"/>
    <col customWidth="1" min="4" max="4" width="12.0"/>
    <col customWidth="1" min="5" max="5" width="32.0"/>
    <col customWidth="1" min="6" max="6" width="8.0"/>
    <col customWidth="1" min="7" max="7" width="14.0"/>
    <col customWidth="1" min="8" max="22" width="13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145</v>
      </c>
      <c r="B2" s="2" t="s">
        <v>146</v>
      </c>
      <c r="C2" s="2">
        <v>1957.0</v>
      </c>
      <c r="D2" s="2" t="s">
        <v>147</v>
      </c>
      <c r="E2" s="2" t="s">
        <v>148</v>
      </c>
      <c r="F2" s="2" t="s">
        <v>26</v>
      </c>
      <c r="G2" s="3">
        <v>47.6</v>
      </c>
      <c r="H2" s="2">
        <v>2.0</v>
      </c>
      <c r="I2" s="2">
        <v>1.0</v>
      </c>
      <c r="J2" s="3">
        <v>11.3</v>
      </c>
      <c r="K2" s="3">
        <v>11.6</v>
      </c>
      <c r="L2" s="3">
        <v>11.7</v>
      </c>
      <c r="M2" s="3">
        <v>13.0</v>
      </c>
      <c r="N2" s="3">
        <v>22.9</v>
      </c>
      <c r="O2" s="3">
        <v>24.7</v>
      </c>
      <c r="P2" s="3">
        <v>1.8</v>
      </c>
      <c r="Q2" s="4">
        <f t="shared" ref="Q2:Q4" si="1">J2/G2*100</f>
        <v>23.7394958</v>
      </c>
      <c r="R2" s="4">
        <f t="shared" ref="R2:R4" si="2">K2/G2*100</f>
        <v>24.3697479</v>
      </c>
      <c r="S2" s="4">
        <f t="shared" ref="S2:S4" si="3">L2/G2*100</f>
        <v>24.57983193</v>
      </c>
      <c r="T2" s="4">
        <f t="shared" ref="T2:T4" si="4">M2/G2*100</f>
        <v>27.31092437</v>
      </c>
      <c r="U2" s="2" t="s">
        <v>27</v>
      </c>
      <c r="V2" s="2" t="s">
        <v>149</v>
      </c>
    </row>
    <row r="3">
      <c r="A3" s="2" t="s">
        <v>150</v>
      </c>
      <c r="B3" s="2" t="s">
        <v>30</v>
      </c>
      <c r="C3" s="2">
        <v>1999.0</v>
      </c>
      <c r="D3" s="2" t="s">
        <v>151</v>
      </c>
      <c r="E3" s="2" t="s">
        <v>152</v>
      </c>
      <c r="F3" s="2" t="s">
        <v>26</v>
      </c>
      <c r="G3" s="3">
        <v>47.78</v>
      </c>
      <c r="H3" s="2">
        <v>5.0</v>
      </c>
      <c r="I3" s="2">
        <v>1.0</v>
      </c>
      <c r="J3" s="3">
        <v>11.71</v>
      </c>
      <c r="K3" s="3">
        <v>11.24</v>
      </c>
      <c r="L3" s="3">
        <v>11.92</v>
      </c>
      <c r="M3" s="3">
        <v>12.91</v>
      </c>
      <c r="N3" s="3">
        <v>22.95</v>
      </c>
      <c r="O3" s="3">
        <v>24.83</v>
      </c>
      <c r="P3" s="3">
        <v>1.88</v>
      </c>
      <c r="Q3" s="4">
        <f t="shared" si="1"/>
        <v>24.50816241</v>
      </c>
      <c r="R3" s="4">
        <f t="shared" si="2"/>
        <v>23.52448723</v>
      </c>
      <c r="S3" s="4">
        <f t="shared" si="3"/>
        <v>24.94767685</v>
      </c>
      <c r="T3" s="4">
        <f t="shared" si="4"/>
        <v>27.0196735</v>
      </c>
      <c r="U3" s="2" t="s">
        <v>153</v>
      </c>
      <c r="V3" s="2" t="s">
        <v>154</v>
      </c>
    </row>
    <row r="4">
      <c r="A4" s="2" t="s">
        <v>155</v>
      </c>
      <c r="B4" s="2" t="s">
        <v>156</v>
      </c>
      <c r="C4" s="2">
        <v>1996.0</v>
      </c>
      <c r="D4" s="2" t="s">
        <v>151</v>
      </c>
      <c r="E4" s="2" t="s">
        <v>152</v>
      </c>
      <c r="F4" s="2" t="s">
        <v>26</v>
      </c>
      <c r="G4" s="3">
        <v>47.98</v>
      </c>
      <c r="H4" s="2">
        <v>9.0</v>
      </c>
      <c r="I4" s="2">
        <v>2.0</v>
      </c>
      <c r="J4" s="3">
        <v>11.92</v>
      </c>
      <c r="K4" s="3">
        <v>11.17</v>
      </c>
      <c r="L4" s="3">
        <v>11.88</v>
      </c>
      <c r="M4" s="3">
        <v>13.01</v>
      </c>
      <c r="N4" s="3">
        <v>23.09</v>
      </c>
      <c r="O4" s="3">
        <v>24.89</v>
      </c>
      <c r="P4" s="3">
        <v>1.8</v>
      </c>
      <c r="Q4" s="4">
        <f t="shared" si="1"/>
        <v>24.84368487</v>
      </c>
      <c r="R4" s="4">
        <f t="shared" si="2"/>
        <v>23.28053356</v>
      </c>
      <c r="S4" s="4">
        <f t="shared" si="3"/>
        <v>24.7603168</v>
      </c>
      <c r="T4" s="4">
        <f t="shared" si="4"/>
        <v>27.11546478</v>
      </c>
      <c r="U4" s="2" t="s">
        <v>61</v>
      </c>
      <c r="V4" s="2" t="s">
        <v>154</v>
      </c>
    </row>
    <row r="5">
      <c r="A5" s="2" t="s">
        <v>157</v>
      </c>
      <c r="B5" s="2" t="s">
        <v>158</v>
      </c>
      <c r="C5" s="2">
        <v>1951.0</v>
      </c>
      <c r="D5" s="2" t="s">
        <v>159</v>
      </c>
      <c r="E5" s="2" t="s">
        <v>112</v>
      </c>
      <c r="F5" s="2" t="s">
        <v>26</v>
      </c>
      <c r="G5" s="3">
        <v>47.99</v>
      </c>
      <c r="H5" s="2">
        <v>3.0</v>
      </c>
      <c r="I5" s="2">
        <v>1.0</v>
      </c>
      <c r="J5" s="2"/>
      <c r="K5" s="2"/>
      <c r="L5" s="2"/>
      <c r="M5" s="2"/>
      <c r="N5" s="3">
        <v>23.1</v>
      </c>
      <c r="O5" s="3">
        <v>24.9</v>
      </c>
      <c r="P5" s="3">
        <v>1.8</v>
      </c>
      <c r="Q5" s="2"/>
      <c r="R5" s="2"/>
      <c r="S5" s="2"/>
      <c r="T5" s="2"/>
      <c r="U5" s="2" t="s">
        <v>160</v>
      </c>
      <c r="V5" s="2" t="s">
        <v>161</v>
      </c>
    </row>
    <row r="6">
      <c r="A6" s="2" t="s">
        <v>162</v>
      </c>
      <c r="B6" s="2" t="s">
        <v>163</v>
      </c>
      <c r="C6" s="2">
        <v>1998.0</v>
      </c>
      <c r="D6" s="2" t="s">
        <v>164</v>
      </c>
      <c r="E6" s="2" t="s">
        <v>60</v>
      </c>
      <c r="F6" s="2" t="s">
        <v>26</v>
      </c>
      <c r="G6" s="3">
        <v>48.14</v>
      </c>
      <c r="H6" s="2">
        <v>5.0</v>
      </c>
      <c r="I6" s="2">
        <v>1.0</v>
      </c>
      <c r="J6" s="3">
        <v>12.09</v>
      </c>
      <c r="K6" s="3">
        <v>11.11</v>
      </c>
      <c r="L6" s="3">
        <v>11.9</v>
      </c>
      <c r="M6" s="3">
        <v>13.04</v>
      </c>
      <c r="N6" s="3">
        <v>23.2</v>
      </c>
      <c r="O6" s="3">
        <v>24.94</v>
      </c>
      <c r="P6" s="3">
        <v>1.74</v>
      </c>
      <c r="Q6" s="4">
        <f t="shared" ref="Q6:Q33" si="5">J6/G6*100</f>
        <v>25.1142501</v>
      </c>
      <c r="R6" s="4">
        <f t="shared" ref="R6:R33" si="6">K6/G6*100</f>
        <v>23.07852098</v>
      </c>
      <c r="S6" s="4">
        <f t="shared" ref="S6:S34" si="7">L6/G6*100</f>
        <v>24.71956793</v>
      </c>
      <c r="T6" s="4">
        <f t="shared" ref="T6:T34" si="8">M6/G6*100</f>
        <v>27.08766099</v>
      </c>
      <c r="U6" s="2" t="s">
        <v>61</v>
      </c>
      <c r="V6" s="2" t="s">
        <v>62</v>
      </c>
    </row>
    <row r="7">
      <c r="A7" s="2" t="s">
        <v>145</v>
      </c>
      <c r="B7" s="2" t="s">
        <v>146</v>
      </c>
      <c r="C7" s="2">
        <v>1957.0</v>
      </c>
      <c r="D7" s="2" t="s">
        <v>165</v>
      </c>
      <c r="E7" s="2" t="s">
        <v>166</v>
      </c>
      <c r="F7" s="2" t="s">
        <v>26</v>
      </c>
      <c r="G7" s="3">
        <v>48.16</v>
      </c>
      <c r="H7" s="2">
        <v>3.0</v>
      </c>
      <c r="I7" s="2">
        <v>1.0</v>
      </c>
      <c r="J7" s="3">
        <v>11.82</v>
      </c>
      <c r="K7" s="3">
        <v>10.98</v>
      </c>
      <c r="L7" s="3">
        <v>11.95</v>
      </c>
      <c r="M7" s="3">
        <v>13.41</v>
      </c>
      <c r="N7" s="3">
        <v>22.8</v>
      </c>
      <c r="O7" s="3">
        <v>25.36</v>
      </c>
      <c r="P7" s="3">
        <v>2.56</v>
      </c>
      <c r="Q7" s="4">
        <f t="shared" si="5"/>
        <v>24.54318937</v>
      </c>
      <c r="R7" s="4">
        <f t="shared" si="6"/>
        <v>22.79900332</v>
      </c>
      <c r="S7" s="4">
        <f t="shared" si="7"/>
        <v>24.81312292</v>
      </c>
      <c r="T7" s="4">
        <f t="shared" si="8"/>
        <v>27.84468439</v>
      </c>
      <c r="U7" s="2" t="s">
        <v>27</v>
      </c>
      <c r="V7" s="2" t="s">
        <v>167</v>
      </c>
    </row>
    <row r="8">
      <c r="A8" s="2" t="s">
        <v>145</v>
      </c>
      <c r="B8" s="2" t="s">
        <v>146</v>
      </c>
      <c r="C8" s="2">
        <v>1957.0</v>
      </c>
      <c r="D8" s="2" t="s">
        <v>168</v>
      </c>
      <c r="E8" s="2" t="s">
        <v>169</v>
      </c>
      <c r="F8" s="2" t="s">
        <v>26</v>
      </c>
      <c r="G8" s="3">
        <v>48.16</v>
      </c>
      <c r="H8" s="2"/>
      <c r="I8" s="2">
        <v>1.0</v>
      </c>
      <c r="J8" s="3">
        <v>11.79</v>
      </c>
      <c r="K8" s="3">
        <v>10.83</v>
      </c>
      <c r="L8" s="3">
        <v>12.05</v>
      </c>
      <c r="M8" s="3">
        <v>13.52</v>
      </c>
      <c r="N8" s="3">
        <v>22.62</v>
      </c>
      <c r="O8" s="3">
        <v>25.57</v>
      </c>
      <c r="P8" s="3">
        <v>2.95</v>
      </c>
      <c r="Q8" s="4">
        <f t="shared" si="5"/>
        <v>24.48089701</v>
      </c>
      <c r="R8" s="4">
        <f t="shared" si="6"/>
        <v>22.48754153</v>
      </c>
      <c r="S8" s="4">
        <f t="shared" si="7"/>
        <v>25.02076412</v>
      </c>
      <c r="T8" s="4">
        <f t="shared" si="8"/>
        <v>28.0730897</v>
      </c>
      <c r="U8" s="2"/>
      <c r="V8" s="2" t="s">
        <v>170</v>
      </c>
    </row>
    <row r="9">
      <c r="A9" s="2" t="s">
        <v>155</v>
      </c>
      <c r="B9" s="2" t="s">
        <v>156</v>
      </c>
      <c r="C9" s="2">
        <v>1996.0</v>
      </c>
      <c r="D9" s="2" t="s">
        <v>171</v>
      </c>
      <c r="E9" s="2" t="s">
        <v>44</v>
      </c>
      <c r="F9" s="2" t="s">
        <v>26</v>
      </c>
      <c r="G9" s="3">
        <v>48.17</v>
      </c>
      <c r="H9" s="2">
        <v>6.0</v>
      </c>
      <c r="I9" s="2">
        <v>1.0</v>
      </c>
      <c r="J9" s="3">
        <v>11.87</v>
      </c>
      <c r="K9" s="3">
        <v>10.94</v>
      </c>
      <c r="L9" s="3">
        <v>11.97</v>
      </c>
      <c r="M9" s="3">
        <v>13.39</v>
      </c>
      <c r="N9" s="3">
        <v>22.81</v>
      </c>
      <c r="O9" s="3">
        <v>25.36</v>
      </c>
      <c r="P9" s="3">
        <v>2.55</v>
      </c>
      <c r="Q9" s="4">
        <f t="shared" si="5"/>
        <v>24.64189329</v>
      </c>
      <c r="R9" s="4">
        <f t="shared" si="6"/>
        <v>22.71123106</v>
      </c>
      <c r="S9" s="4">
        <f t="shared" si="7"/>
        <v>24.84949138</v>
      </c>
      <c r="T9" s="4">
        <f t="shared" si="8"/>
        <v>27.79738426</v>
      </c>
      <c r="U9" s="2" t="s">
        <v>172</v>
      </c>
      <c r="V9" s="2" t="s">
        <v>46</v>
      </c>
    </row>
    <row r="10">
      <c r="A10" s="2" t="s">
        <v>162</v>
      </c>
      <c r="B10" s="2" t="s">
        <v>163</v>
      </c>
      <c r="C10" s="2">
        <v>1998.0</v>
      </c>
      <c r="D10" s="2" t="s">
        <v>151</v>
      </c>
      <c r="E10" s="2" t="s">
        <v>152</v>
      </c>
      <c r="F10" s="2" t="s">
        <v>26</v>
      </c>
      <c r="G10" s="3">
        <v>48.19</v>
      </c>
      <c r="H10" s="2">
        <v>7.0</v>
      </c>
      <c r="I10" s="2">
        <v>3.0</v>
      </c>
      <c r="J10" s="3">
        <v>11.84</v>
      </c>
      <c r="K10" s="3">
        <v>11.29</v>
      </c>
      <c r="L10" s="3">
        <v>11.87</v>
      </c>
      <c r="M10" s="3">
        <v>13.19</v>
      </c>
      <c r="N10" s="3">
        <v>23.13</v>
      </c>
      <c r="O10" s="3">
        <v>25.06</v>
      </c>
      <c r="P10" s="3">
        <v>1.93</v>
      </c>
      <c r="Q10" s="4">
        <f t="shared" si="5"/>
        <v>24.56941274</v>
      </c>
      <c r="R10" s="4">
        <f t="shared" si="6"/>
        <v>23.42809712</v>
      </c>
      <c r="S10" s="4">
        <f t="shared" si="7"/>
        <v>24.63166632</v>
      </c>
      <c r="T10" s="4">
        <f t="shared" si="8"/>
        <v>27.37082382</v>
      </c>
      <c r="U10" s="2"/>
      <c r="V10" s="2" t="s">
        <v>154</v>
      </c>
    </row>
    <row r="11">
      <c r="A11" s="2" t="s">
        <v>145</v>
      </c>
      <c r="B11" s="2" t="s">
        <v>146</v>
      </c>
      <c r="C11" s="2">
        <v>1957.0</v>
      </c>
      <c r="D11" s="2" t="s">
        <v>173</v>
      </c>
      <c r="E11" s="2" t="s">
        <v>174</v>
      </c>
      <c r="F11" s="2" t="s">
        <v>26</v>
      </c>
      <c r="G11" s="3">
        <v>48.22</v>
      </c>
      <c r="H11" s="2">
        <v>3.0</v>
      </c>
      <c r="I11" s="2">
        <v>1.0</v>
      </c>
      <c r="J11" s="3">
        <v>11.79</v>
      </c>
      <c r="K11" s="3">
        <v>10.84</v>
      </c>
      <c r="L11" s="3">
        <v>11.59</v>
      </c>
      <c r="M11" s="3">
        <v>14.0</v>
      </c>
      <c r="N11" s="3">
        <v>22.63</v>
      </c>
      <c r="O11" s="3">
        <v>25.59</v>
      </c>
      <c r="P11" s="3">
        <v>2.96</v>
      </c>
      <c r="Q11" s="4">
        <f t="shared" si="5"/>
        <v>24.4504355</v>
      </c>
      <c r="R11" s="4">
        <f t="shared" si="6"/>
        <v>22.48029863</v>
      </c>
      <c r="S11" s="4">
        <f t="shared" si="7"/>
        <v>24.03566985</v>
      </c>
      <c r="T11" s="4">
        <f t="shared" si="8"/>
        <v>29.03359602</v>
      </c>
      <c r="U11" s="2"/>
      <c r="V11" s="2" t="s">
        <v>170</v>
      </c>
    </row>
    <row r="12">
      <c r="A12" s="2" t="s">
        <v>175</v>
      </c>
      <c r="B12" s="2" t="s">
        <v>176</v>
      </c>
      <c r="C12" s="2">
        <v>1968.0</v>
      </c>
      <c r="D12" s="2" t="s">
        <v>63</v>
      </c>
      <c r="E12" s="2" t="s">
        <v>64</v>
      </c>
      <c r="F12" s="2" t="s">
        <v>26</v>
      </c>
      <c r="G12" s="3">
        <v>48.25</v>
      </c>
      <c r="H12" s="2">
        <v>3.0</v>
      </c>
      <c r="I12" s="2">
        <v>1.0</v>
      </c>
      <c r="J12" s="3">
        <v>12.05</v>
      </c>
      <c r="K12" s="3">
        <v>11.23</v>
      </c>
      <c r="L12" s="3">
        <v>11.82</v>
      </c>
      <c r="M12" s="3">
        <v>13.15</v>
      </c>
      <c r="N12" s="3">
        <v>23.28</v>
      </c>
      <c r="O12" s="3">
        <v>24.97</v>
      </c>
      <c r="P12" s="3">
        <v>1.69</v>
      </c>
      <c r="Q12" s="4">
        <f t="shared" si="5"/>
        <v>24.97409326</v>
      </c>
      <c r="R12" s="4">
        <f t="shared" si="6"/>
        <v>23.2746114</v>
      </c>
      <c r="S12" s="4">
        <f t="shared" si="7"/>
        <v>24.49740933</v>
      </c>
      <c r="T12" s="4">
        <f t="shared" si="8"/>
        <v>27.25388601</v>
      </c>
      <c r="U12" s="2" t="s">
        <v>177</v>
      </c>
      <c r="V12" s="2" t="s">
        <v>97</v>
      </c>
    </row>
    <row r="13">
      <c r="A13" s="2" t="s">
        <v>145</v>
      </c>
      <c r="B13" s="2" t="s">
        <v>146</v>
      </c>
      <c r="C13" s="2">
        <v>1957.0</v>
      </c>
      <c r="D13" s="2" t="s">
        <v>178</v>
      </c>
      <c r="E13" s="2" t="s">
        <v>179</v>
      </c>
      <c r="F13" s="2" t="s">
        <v>26</v>
      </c>
      <c r="G13" s="3">
        <v>48.26</v>
      </c>
      <c r="H13" s="2"/>
      <c r="I13" s="2">
        <v>1.0</v>
      </c>
      <c r="J13" s="3">
        <v>11.64</v>
      </c>
      <c r="K13" s="3">
        <v>11.24</v>
      </c>
      <c r="L13" s="3">
        <v>12.11</v>
      </c>
      <c r="M13" s="3">
        <v>13.27</v>
      </c>
      <c r="N13" s="3">
        <v>22.88</v>
      </c>
      <c r="O13" s="3">
        <v>25.38</v>
      </c>
      <c r="P13" s="3">
        <v>2.5</v>
      </c>
      <c r="Q13" s="4">
        <f t="shared" si="5"/>
        <v>24.1193535</v>
      </c>
      <c r="R13" s="4">
        <f t="shared" si="6"/>
        <v>23.29050974</v>
      </c>
      <c r="S13" s="4">
        <f t="shared" si="7"/>
        <v>25.09324492</v>
      </c>
      <c r="T13" s="4">
        <f t="shared" si="8"/>
        <v>27.49689184</v>
      </c>
      <c r="U13" s="2"/>
      <c r="V13" s="2" t="s">
        <v>167</v>
      </c>
    </row>
    <row r="14">
      <c r="A14" s="2" t="s">
        <v>150</v>
      </c>
      <c r="B14" s="2" t="s">
        <v>30</v>
      </c>
      <c r="C14" s="2">
        <v>1999.0</v>
      </c>
      <c r="D14" s="2" t="s">
        <v>180</v>
      </c>
      <c r="E14" s="2" t="s">
        <v>152</v>
      </c>
      <c r="F14" s="2" t="s">
        <v>181</v>
      </c>
      <c r="G14" s="3">
        <v>48.29</v>
      </c>
      <c r="H14" s="2">
        <v>8.0</v>
      </c>
      <c r="I14" s="2">
        <v>1.0</v>
      </c>
      <c r="J14" s="3">
        <v>11.98</v>
      </c>
      <c r="K14" s="3">
        <v>11.45</v>
      </c>
      <c r="L14" s="3">
        <v>11.88</v>
      </c>
      <c r="M14" s="3">
        <v>12.98</v>
      </c>
      <c r="N14" s="3">
        <v>23.43</v>
      </c>
      <c r="O14" s="3">
        <v>24.86</v>
      </c>
      <c r="P14" s="3">
        <v>1.43</v>
      </c>
      <c r="Q14" s="4">
        <f t="shared" si="5"/>
        <v>24.80844895</v>
      </c>
      <c r="R14" s="4">
        <f t="shared" si="6"/>
        <v>23.71091323</v>
      </c>
      <c r="S14" s="4">
        <f t="shared" si="7"/>
        <v>24.60136674</v>
      </c>
      <c r="T14" s="4">
        <f t="shared" si="8"/>
        <v>26.87927107</v>
      </c>
      <c r="U14" s="2" t="s">
        <v>61</v>
      </c>
      <c r="V14" s="2" t="s">
        <v>154</v>
      </c>
    </row>
    <row r="15">
      <c r="A15" s="2" t="s">
        <v>182</v>
      </c>
      <c r="B15" s="2" t="s">
        <v>58</v>
      </c>
      <c r="C15" s="2">
        <v>1994.0</v>
      </c>
      <c r="D15" s="2" t="s">
        <v>183</v>
      </c>
      <c r="E15" s="2" t="s">
        <v>115</v>
      </c>
      <c r="F15" s="2" t="s">
        <v>26</v>
      </c>
      <c r="G15" s="3">
        <v>48.36</v>
      </c>
      <c r="H15" s="2">
        <v>7.0</v>
      </c>
      <c r="I15" s="2">
        <v>1.0</v>
      </c>
      <c r="J15" s="3">
        <v>12.11</v>
      </c>
      <c r="K15" s="3">
        <v>11.29</v>
      </c>
      <c r="L15" s="3">
        <v>11.96</v>
      </c>
      <c r="M15" s="3">
        <v>13.01</v>
      </c>
      <c r="N15" s="3">
        <v>23.4</v>
      </c>
      <c r="O15" s="3">
        <v>24.97</v>
      </c>
      <c r="P15" s="3">
        <v>1.57</v>
      </c>
      <c r="Q15" s="4">
        <f t="shared" si="5"/>
        <v>25.04135649</v>
      </c>
      <c r="R15" s="4">
        <f t="shared" si="6"/>
        <v>23.34574028</v>
      </c>
      <c r="S15" s="4">
        <f t="shared" si="7"/>
        <v>24.7311828</v>
      </c>
      <c r="T15" s="4">
        <f t="shared" si="8"/>
        <v>26.90239868</v>
      </c>
      <c r="U15" s="2" t="s">
        <v>49</v>
      </c>
      <c r="V15" s="2" t="s">
        <v>74</v>
      </c>
    </row>
    <row r="16">
      <c r="A16" s="2" t="s">
        <v>182</v>
      </c>
      <c r="B16" s="2" t="s">
        <v>58</v>
      </c>
      <c r="C16" s="2">
        <v>1994.0</v>
      </c>
      <c r="D16" s="2" t="s">
        <v>164</v>
      </c>
      <c r="E16" s="2" t="s">
        <v>60</v>
      </c>
      <c r="F16" s="2" t="s">
        <v>26</v>
      </c>
      <c r="G16" s="3">
        <v>48.37</v>
      </c>
      <c r="H16" s="2">
        <v>7.0</v>
      </c>
      <c r="I16" s="2">
        <v>2.0</v>
      </c>
      <c r="J16" s="3">
        <v>12.06</v>
      </c>
      <c r="K16" s="3">
        <v>11.55</v>
      </c>
      <c r="L16" s="3">
        <v>12.06</v>
      </c>
      <c r="M16" s="3">
        <v>12.7</v>
      </c>
      <c r="N16" s="3">
        <v>23.61</v>
      </c>
      <c r="O16" s="3">
        <v>24.76</v>
      </c>
      <c r="P16" s="3">
        <v>1.15</v>
      </c>
      <c r="Q16" s="4">
        <f t="shared" si="5"/>
        <v>24.93280959</v>
      </c>
      <c r="R16" s="4">
        <f t="shared" si="6"/>
        <v>23.87843705</v>
      </c>
      <c r="S16" s="4">
        <f t="shared" si="7"/>
        <v>24.93280959</v>
      </c>
      <c r="T16" s="4">
        <f t="shared" si="8"/>
        <v>26.25594377</v>
      </c>
      <c r="U16" s="2" t="s">
        <v>61</v>
      </c>
      <c r="V16" s="2" t="s">
        <v>62</v>
      </c>
    </row>
    <row r="17">
      <c r="A17" s="2" t="s">
        <v>162</v>
      </c>
      <c r="B17" s="2" t="s">
        <v>163</v>
      </c>
      <c r="C17" s="2">
        <v>1998.0</v>
      </c>
      <c r="D17" s="2" t="s">
        <v>171</v>
      </c>
      <c r="E17" s="2" t="s">
        <v>44</v>
      </c>
      <c r="F17" s="2" t="s">
        <v>26</v>
      </c>
      <c r="G17" s="3">
        <v>48.53</v>
      </c>
      <c r="H17" s="2">
        <v>8.0</v>
      </c>
      <c r="I17" s="2">
        <v>2.0</v>
      </c>
      <c r="J17" s="3">
        <v>11.73</v>
      </c>
      <c r="K17" s="3">
        <v>11.39</v>
      </c>
      <c r="L17" s="3">
        <v>12.11</v>
      </c>
      <c r="M17" s="3">
        <v>13.3</v>
      </c>
      <c r="N17" s="3">
        <v>23.12</v>
      </c>
      <c r="O17" s="3">
        <v>25.41</v>
      </c>
      <c r="P17" s="3">
        <v>2.29</v>
      </c>
      <c r="Q17" s="4">
        <f t="shared" si="5"/>
        <v>24.17061611</v>
      </c>
      <c r="R17" s="4">
        <f t="shared" si="6"/>
        <v>23.47001855</v>
      </c>
      <c r="S17" s="4">
        <f t="shared" si="7"/>
        <v>24.95363693</v>
      </c>
      <c r="T17" s="4">
        <f t="shared" si="8"/>
        <v>27.40572842</v>
      </c>
      <c r="U17" s="2"/>
      <c r="V17" s="2" t="s">
        <v>46</v>
      </c>
    </row>
    <row r="18">
      <c r="A18" s="2" t="s">
        <v>184</v>
      </c>
      <c r="B18" s="2" t="s">
        <v>185</v>
      </c>
      <c r="C18" s="2">
        <v>2003.0</v>
      </c>
      <c r="D18" s="2" t="s">
        <v>186</v>
      </c>
      <c r="E18" s="2" t="s">
        <v>187</v>
      </c>
      <c r="F18" s="2" t="s">
        <v>26</v>
      </c>
      <c r="G18" s="3">
        <v>48.54</v>
      </c>
      <c r="H18" s="2">
        <v>4.0</v>
      </c>
      <c r="I18" s="2">
        <v>1.0</v>
      </c>
      <c r="J18" s="3">
        <v>11.9</v>
      </c>
      <c r="K18" s="3">
        <v>11.1</v>
      </c>
      <c r="L18" s="3">
        <v>12.2</v>
      </c>
      <c r="M18" s="3">
        <v>13.34</v>
      </c>
      <c r="N18" s="3">
        <v>23.0</v>
      </c>
      <c r="O18" s="3">
        <v>25.54</v>
      </c>
      <c r="P18" s="3">
        <v>2.54</v>
      </c>
      <c r="Q18" s="4">
        <f t="shared" si="5"/>
        <v>24.51586321</v>
      </c>
      <c r="R18" s="4">
        <f t="shared" si="6"/>
        <v>22.86773795</v>
      </c>
      <c r="S18" s="4">
        <f t="shared" si="7"/>
        <v>25.13391018</v>
      </c>
      <c r="T18" s="4">
        <f t="shared" si="8"/>
        <v>27.48248867</v>
      </c>
      <c r="U18" s="2" t="s">
        <v>105</v>
      </c>
      <c r="V18" s="2" t="s">
        <v>188</v>
      </c>
    </row>
    <row r="19">
      <c r="A19" s="2" t="s">
        <v>189</v>
      </c>
      <c r="B19" s="2" t="s">
        <v>128</v>
      </c>
      <c r="C19" s="2">
        <v>2001.0</v>
      </c>
      <c r="D19" s="2" t="s">
        <v>90</v>
      </c>
      <c r="E19" s="2" t="s">
        <v>91</v>
      </c>
      <c r="F19" s="2" t="s">
        <v>26</v>
      </c>
      <c r="G19" s="3">
        <v>48.57</v>
      </c>
      <c r="H19" s="2">
        <v>6.0</v>
      </c>
      <c r="I19" s="2">
        <v>1.0</v>
      </c>
      <c r="J19" s="3">
        <v>11.99</v>
      </c>
      <c r="K19" s="3">
        <v>11.18</v>
      </c>
      <c r="L19" s="3">
        <v>12.12</v>
      </c>
      <c r="M19" s="3">
        <v>13.28</v>
      </c>
      <c r="N19" s="3">
        <v>23.17</v>
      </c>
      <c r="O19" s="3">
        <v>25.4</v>
      </c>
      <c r="P19" s="3">
        <v>2.23</v>
      </c>
      <c r="Q19" s="4">
        <f t="shared" si="5"/>
        <v>24.68602018</v>
      </c>
      <c r="R19" s="4">
        <f t="shared" si="6"/>
        <v>23.01832407</v>
      </c>
      <c r="S19" s="4">
        <f t="shared" si="7"/>
        <v>24.95367511</v>
      </c>
      <c r="T19" s="4">
        <f t="shared" si="8"/>
        <v>27.34198065</v>
      </c>
      <c r="U19" s="2" t="s">
        <v>61</v>
      </c>
      <c r="V19" s="2" t="s">
        <v>92</v>
      </c>
    </row>
    <row r="20">
      <c r="A20" s="2" t="s">
        <v>190</v>
      </c>
      <c r="B20" s="2" t="s">
        <v>158</v>
      </c>
      <c r="C20" s="2">
        <v>1962.0</v>
      </c>
      <c r="D20" s="2" t="s">
        <v>159</v>
      </c>
      <c r="E20" s="2" t="s">
        <v>112</v>
      </c>
      <c r="F20" s="2" t="s">
        <v>26</v>
      </c>
      <c r="G20" s="3">
        <v>48.59</v>
      </c>
      <c r="H20" s="2">
        <v>1.0</v>
      </c>
      <c r="I20" s="2">
        <v>2.0</v>
      </c>
      <c r="J20" s="3">
        <v>12.4</v>
      </c>
      <c r="K20" s="3">
        <v>11.1</v>
      </c>
      <c r="L20" s="3">
        <v>11.74</v>
      </c>
      <c r="M20" s="3">
        <v>13.35</v>
      </c>
      <c r="N20" s="3">
        <v>23.5</v>
      </c>
      <c r="O20" s="3">
        <v>25.09</v>
      </c>
      <c r="P20" s="3">
        <v>1.59</v>
      </c>
      <c r="Q20" s="4">
        <f t="shared" si="5"/>
        <v>25.51965425</v>
      </c>
      <c r="R20" s="4">
        <f t="shared" si="6"/>
        <v>22.84420663</v>
      </c>
      <c r="S20" s="4">
        <f t="shared" si="7"/>
        <v>24.16135007</v>
      </c>
      <c r="T20" s="4">
        <f t="shared" si="8"/>
        <v>27.47478905</v>
      </c>
      <c r="U20" s="2" t="s">
        <v>45</v>
      </c>
      <c r="V20" s="2" t="s">
        <v>191</v>
      </c>
    </row>
    <row r="21" ht="15.75" customHeight="1">
      <c r="A21" s="2" t="s">
        <v>192</v>
      </c>
      <c r="B21" s="2" t="s">
        <v>193</v>
      </c>
      <c r="C21" s="2">
        <v>1973.0</v>
      </c>
      <c r="D21" s="2" t="s">
        <v>63</v>
      </c>
      <c r="E21" s="2" t="s">
        <v>64</v>
      </c>
      <c r="F21" s="2" t="s">
        <v>26</v>
      </c>
      <c r="G21" s="3">
        <v>48.63</v>
      </c>
      <c r="H21" s="2">
        <v>4.0</v>
      </c>
      <c r="I21" s="2">
        <v>2.0</v>
      </c>
      <c r="J21" s="3">
        <v>12.2</v>
      </c>
      <c r="K21" s="3">
        <v>11.27</v>
      </c>
      <c r="L21" s="3">
        <v>11.63</v>
      </c>
      <c r="M21" s="3">
        <v>13.5</v>
      </c>
      <c r="N21" s="3">
        <v>23.47</v>
      </c>
      <c r="O21" s="3">
        <v>25.13</v>
      </c>
      <c r="P21" s="3">
        <v>1.66</v>
      </c>
      <c r="Q21" s="4">
        <f t="shared" si="5"/>
        <v>25.08739461</v>
      </c>
      <c r="R21" s="4">
        <f t="shared" si="6"/>
        <v>23.17499486</v>
      </c>
      <c r="S21" s="4">
        <f t="shared" si="7"/>
        <v>23.91527863</v>
      </c>
      <c r="T21" s="4">
        <f t="shared" si="8"/>
        <v>27.76064158</v>
      </c>
      <c r="U21" s="2" t="s">
        <v>49</v>
      </c>
      <c r="V21" s="2" t="s">
        <v>97</v>
      </c>
    </row>
    <row r="22" ht="15.75" customHeight="1">
      <c r="A22" s="2" t="s">
        <v>194</v>
      </c>
      <c r="B22" s="2" t="s">
        <v>195</v>
      </c>
      <c r="C22" s="2">
        <v>1963.0</v>
      </c>
      <c r="D22" s="2" t="s">
        <v>196</v>
      </c>
      <c r="E22" s="2" t="s">
        <v>104</v>
      </c>
      <c r="F22" s="2" t="s">
        <v>26</v>
      </c>
      <c r="G22" s="3">
        <v>48.65</v>
      </c>
      <c r="H22" s="2">
        <v>3.0</v>
      </c>
      <c r="I22" s="2">
        <v>1.0</v>
      </c>
      <c r="J22" s="3">
        <v>11.94</v>
      </c>
      <c r="K22" s="3">
        <v>11.47</v>
      </c>
      <c r="L22" s="3">
        <v>12.06</v>
      </c>
      <c r="M22" s="3">
        <v>13.18</v>
      </c>
      <c r="N22" s="3">
        <v>23.41</v>
      </c>
      <c r="O22" s="3">
        <v>25.24</v>
      </c>
      <c r="P22" s="3">
        <v>1.83</v>
      </c>
      <c r="Q22" s="4">
        <f t="shared" si="5"/>
        <v>24.54265159</v>
      </c>
      <c r="R22" s="4">
        <f t="shared" si="6"/>
        <v>23.57656732</v>
      </c>
      <c r="S22" s="4">
        <f t="shared" si="7"/>
        <v>24.78931141</v>
      </c>
      <c r="T22" s="4">
        <f t="shared" si="8"/>
        <v>27.09146968</v>
      </c>
      <c r="U22" s="2" t="s">
        <v>65</v>
      </c>
      <c r="V22" s="2" t="s">
        <v>106</v>
      </c>
    </row>
    <row r="23" ht="15.75" customHeight="1">
      <c r="A23" s="2" t="s">
        <v>155</v>
      </c>
      <c r="B23" s="2" t="s">
        <v>156</v>
      </c>
      <c r="C23" s="2">
        <v>1996.0</v>
      </c>
      <c r="D23" s="2" t="s">
        <v>197</v>
      </c>
      <c r="E23" s="2" t="s">
        <v>198</v>
      </c>
      <c r="F23" s="2" t="s">
        <v>26</v>
      </c>
      <c r="G23" s="3">
        <v>48.66</v>
      </c>
      <c r="H23" s="2">
        <v>6.0</v>
      </c>
      <c r="I23" s="2">
        <v>1.0</v>
      </c>
      <c r="J23" s="3">
        <v>11.96</v>
      </c>
      <c r="K23" s="3">
        <v>11.47</v>
      </c>
      <c r="L23" s="3">
        <v>12.26</v>
      </c>
      <c r="M23" s="3">
        <v>12.97</v>
      </c>
      <c r="N23" s="3">
        <v>23.43</v>
      </c>
      <c r="O23" s="3">
        <v>25.23</v>
      </c>
      <c r="P23" s="3">
        <v>1.8</v>
      </c>
      <c r="Q23" s="4">
        <f t="shared" si="5"/>
        <v>24.57870941</v>
      </c>
      <c r="R23" s="4">
        <f t="shared" si="6"/>
        <v>23.57172215</v>
      </c>
      <c r="S23" s="4">
        <f t="shared" si="7"/>
        <v>25.19523222</v>
      </c>
      <c r="T23" s="4">
        <f t="shared" si="8"/>
        <v>26.65433621</v>
      </c>
      <c r="U23" s="2"/>
      <c r="V23" s="2" t="s">
        <v>92</v>
      </c>
    </row>
    <row r="24" ht="15.75" customHeight="1">
      <c r="A24" s="2" t="s">
        <v>199</v>
      </c>
      <c r="B24" s="2" t="s">
        <v>30</v>
      </c>
      <c r="C24" s="2">
        <v>1985.0</v>
      </c>
      <c r="D24" s="2" t="s">
        <v>200</v>
      </c>
      <c r="E24" s="2" t="s">
        <v>201</v>
      </c>
      <c r="F24" s="2" t="s">
        <v>26</v>
      </c>
      <c r="G24" s="3">
        <v>48.7</v>
      </c>
      <c r="H24" s="2">
        <v>7.0</v>
      </c>
      <c r="I24" s="2">
        <v>1.0</v>
      </c>
      <c r="J24" s="3">
        <v>11.93</v>
      </c>
      <c r="K24" s="3">
        <v>11.89</v>
      </c>
      <c r="L24" s="3">
        <v>12.01</v>
      </c>
      <c r="M24" s="3">
        <v>12.87</v>
      </c>
      <c r="N24" s="3">
        <v>23.82</v>
      </c>
      <c r="O24" s="3">
        <v>24.88</v>
      </c>
      <c r="P24" s="3">
        <v>1.06</v>
      </c>
      <c r="Q24" s="4">
        <f t="shared" si="5"/>
        <v>24.49691992</v>
      </c>
      <c r="R24" s="4">
        <f t="shared" si="6"/>
        <v>24.41478439</v>
      </c>
      <c r="S24" s="4">
        <f t="shared" si="7"/>
        <v>24.66119097</v>
      </c>
      <c r="T24" s="4">
        <f t="shared" si="8"/>
        <v>26.42710472</v>
      </c>
      <c r="U24" s="2" t="s">
        <v>49</v>
      </c>
      <c r="V24" s="2" t="s">
        <v>202</v>
      </c>
    </row>
    <row r="25" ht="15.75" customHeight="1">
      <c r="A25" s="2" t="s">
        <v>150</v>
      </c>
      <c r="B25" s="2" t="s">
        <v>30</v>
      </c>
      <c r="C25" s="2">
        <v>1999.0</v>
      </c>
      <c r="D25" s="2" t="s">
        <v>203</v>
      </c>
      <c r="E25" s="2" t="s">
        <v>204</v>
      </c>
      <c r="F25" s="2" t="s">
        <v>26</v>
      </c>
      <c r="G25" s="3">
        <v>48.74</v>
      </c>
      <c r="H25" s="2">
        <v>5.0</v>
      </c>
      <c r="I25" s="2">
        <v>1.0</v>
      </c>
      <c r="J25" s="3">
        <v>11.89</v>
      </c>
      <c r="K25" s="3">
        <v>11.35</v>
      </c>
      <c r="L25" s="3">
        <v>12.14</v>
      </c>
      <c r="M25" s="3">
        <v>13.36</v>
      </c>
      <c r="N25" s="3">
        <v>23.24</v>
      </c>
      <c r="O25" s="3">
        <v>25.5</v>
      </c>
      <c r="P25" s="3">
        <v>2.26</v>
      </c>
      <c r="Q25" s="4">
        <f t="shared" si="5"/>
        <v>24.39474764</v>
      </c>
      <c r="R25" s="4">
        <f t="shared" si="6"/>
        <v>23.28682807</v>
      </c>
      <c r="S25" s="4">
        <f t="shared" si="7"/>
        <v>24.90767337</v>
      </c>
      <c r="T25" s="4">
        <f t="shared" si="8"/>
        <v>27.41075092</v>
      </c>
      <c r="U25" s="2" t="s">
        <v>45</v>
      </c>
      <c r="V25" s="2" t="s">
        <v>205</v>
      </c>
    </row>
    <row r="26" ht="15.75" customHeight="1">
      <c r="A26" s="2" t="s">
        <v>155</v>
      </c>
      <c r="B26" s="2" t="s">
        <v>156</v>
      </c>
      <c r="C26" s="2">
        <v>1996.0</v>
      </c>
      <c r="D26" s="2" t="s">
        <v>206</v>
      </c>
      <c r="E26" s="2" t="s">
        <v>130</v>
      </c>
      <c r="F26" s="2" t="s">
        <v>26</v>
      </c>
      <c r="G26" s="3">
        <v>48.76</v>
      </c>
      <c r="H26" s="2">
        <v>7.0</v>
      </c>
      <c r="I26" s="2">
        <v>1.0</v>
      </c>
      <c r="J26" s="3">
        <v>12.28</v>
      </c>
      <c r="K26" s="3">
        <v>11.08</v>
      </c>
      <c r="L26" s="3">
        <v>11.98</v>
      </c>
      <c r="M26" s="3">
        <v>13.42</v>
      </c>
      <c r="N26" s="3">
        <v>23.36</v>
      </c>
      <c r="O26" s="3">
        <v>25.4</v>
      </c>
      <c r="P26" s="3">
        <v>2.04</v>
      </c>
      <c r="Q26" s="4">
        <f t="shared" si="5"/>
        <v>25.18457752</v>
      </c>
      <c r="R26" s="4">
        <f t="shared" si="6"/>
        <v>22.72354389</v>
      </c>
      <c r="S26" s="4">
        <f t="shared" si="7"/>
        <v>24.56931911</v>
      </c>
      <c r="T26" s="4">
        <f t="shared" si="8"/>
        <v>27.52255947</v>
      </c>
      <c r="U26" s="2" t="s">
        <v>61</v>
      </c>
      <c r="V26" s="2" t="s">
        <v>207</v>
      </c>
    </row>
    <row r="27" ht="15.75" customHeight="1">
      <c r="A27" s="2" t="s">
        <v>208</v>
      </c>
      <c r="B27" s="2" t="s">
        <v>209</v>
      </c>
      <c r="C27" s="2">
        <v>1977.0</v>
      </c>
      <c r="D27" s="2" t="s">
        <v>210</v>
      </c>
      <c r="E27" s="2" t="s">
        <v>211</v>
      </c>
      <c r="F27" s="2" t="s">
        <v>26</v>
      </c>
      <c r="G27" s="3">
        <v>48.89</v>
      </c>
      <c r="H27" s="2">
        <v>3.0</v>
      </c>
      <c r="I27" s="2">
        <v>1.0</v>
      </c>
      <c r="J27" s="3">
        <v>12.0</v>
      </c>
      <c r="K27" s="3">
        <v>11.2</v>
      </c>
      <c r="L27" s="3">
        <v>12.5</v>
      </c>
      <c r="M27" s="3">
        <v>13.19</v>
      </c>
      <c r="N27" s="3">
        <v>23.2</v>
      </c>
      <c r="O27" s="3">
        <v>25.69</v>
      </c>
      <c r="P27" s="3">
        <v>2.49</v>
      </c>
      <c r="Q27" s="4">
        <f t="shared" si="5"/>
        <v>24.54489671</v>
      </c>
      <c r="R27" s="4">
        <f t="shared" si="6"/>
        <v>22.90857026</v>
      </c>
      <c r="S27" s="4">
        <f t="shared" si="7"/>
        <v>25.56760074</v>
      </c>
      <c r="T27" s="4">
        <f t="shared" si="8"/>
        <v>26.9789323</v>
      </c>
      <c r="U27" s="2" t="s">
        <v>49</v>
      </c>
      <c r="V27" s="2" t="s">
        <v>212</v>
      </c>
    </row>
    <row r="28" ht="15.75" customHeight="1">
      <c r="A28" s="2" t="s">
        <v>213</v>
      </c>
      <c r="B28" s="2" t="s">
        <v>214</v>
      </c>
      <c r="C28" s="2">
        <v>1998.0</v>
      </c>
      <c r="D28" s="2" t="s">
        <v>90</v>
      </c>
      <c r="E28" s="2" t="s">
        <v>91</v>
      </c>
      <c r="F28" s="2" t="s">
        <v>26</v>
      </c>
      <c r="G28" s="3">
        <v>48.9</v>
      </c>
      <c r="H28" s="2">
        <v>5.0</v>
      </c>
      <c r="I28" s="2">
        <v>2.0</v>
      </c>
      <c r="J28" s="3">
        <v>12.21</v>
      </c>
      <c r="K28" s="3">
        <v>11.1</v>
      </c>
      <c r="L28" s="3">
        <v>12.2</v>
      </c>
      <c r="M28" s="3">
        <v>13.39</v>
      </c>
      <c r="N28" s="3">
        <v>23.31</v>
      </c>
      <c r="O28" s="3">
        <v>25.59</v>
      </c>
      <c r="P28" s="3">
        <v>2.28</v>
      </c>
      <c r="Q28" s="4">
        <f t="shared" si="5"/>
        <v>24.96932515</v>
      </c>
      <c r="R28" s="4">
        <f t="shared" si="6"/>
        <v>22.6993865</v>
      </c>
      <c r="S28" s="4">
        <f t="shared" si="7"/>
        <v>24.94887526</v>
      </c>
      <c r="T28" s="4">
        <f t="shared" si="8"/>
        <v>27.38241309</v>
      </c>
      <c r="U28" s="2" t="s">
        <v>61</v>
      </c>
      <c r="V28" s="2" t="s">
        <v>92</v>
      </c>
    </row>
    <row r="29" ht="15.75" customHeight="1">
      <c r="A29" s="2" t="s">
        <v>150</v>
      </c>
      <c r="B29" s="2" t="s">
        <v>30</v>
      </c>
      <c r="C29" s="2">
        <v>1999.0</v>
      </c>
      <c r="D29" s="2" t="s">
        <v>215</v>
      </c>
      <c r="E29" s="2" t="s">
        <v>204</v>
      </c>
      <c r="F29" s="2" t="s">
        <v>26</v>
      </c>
      <c r="G29" s="3">
        <v>48.9</v>
      </c>
      <c r="H29" s="2">
        <v>5.0</v>
      </c>
      <c r="I29" s="2">
        <v>1.0</v>
      </c>
      <c r="J29" s="3">
        <v>11.76</v>
      </c>
      <c r="K29" s="3">
        <v>11.57</v>
      </c>
      <c r="L29" s="3">
        <v>12.15</v>
      </c>
      <c r="M29" s="3">
        <v>13.42</v>
      </c>
      <c r="N29" s="3">
        <v>23.33</v>
      </c>
      <c r="O29" s="3">
        <v>25.57</v>
      </c>
      <c r="P29" s="3">
        <v>2.24</v>
      </c>
      <c r="Q29" s="4">
        <f t="shared" si="5"/>
        <v>24.04907975</v>
      </c>
      <c r="R29" s="4">
        <f t="shared" si="6"/>
        <v>23.6605317</v>
      </c>
      <c r="S29" s="4">
        <f t="shared" si="7"/>
        <v>24.84662577</v>
      </c>
      <c r="T29" s="4">
        <f t="shared" si="8"/>
        <v>27.44376278</v>
      </c>
      <c r="U29" s="2"/>
      <c r="V29" s="2" t="s">
        <v>216</v>
      </c>
    </row>
    <row r="30" ht="15.75" customHeight="1">
      <c r="A30" s="2" t="s">
        <v>213</v>
      </c>
      <c r="B30" s="2" t="s">
        <v>214</v>
      </c>
      <c r="C30" s="2">
        <v>1998.0</v>
      </c>
      <c r="D30" s="2" t="s">
        <v>217</v>
      </c>
      <c r="E30" s="2" t="s">
        <v>218</v>
      </c>
      <c r="F30" s="2" t="s">
        <v>26</v>
      </c>
      <c r="G30" s="3">
        <v>48.98</v>
      </c>
      <c r="H30" s="2">
        <v>7.0</v>
      </c>
      <c r="I30" s="2">
        <v>1.0</v>
      </c>
      <c r="J30" s="3">
        <v>12.22</v>
      </c>
      <c r="K30" s="3">
        <v>11.37</v>
      </c>
      <c r="L30" s="3">
        <v>12.25</v>
      </c>
      <c r="M30" s="3">
        <v>13.14</v>
      </c>
      <c r="N30" s="3">
        <v>23.59</v>
      </c>
      <c r="O30" s="3">
        <v>25.39</v>
      </c>
      <c r="P30" s="3">
        <v>1.8</v>
      </c>
      <c r="Q30" s="4">
        <f t="shared" si="5"/>
        <v>24.94895876</v>
      </c>
      <c r="R30" s="4">
        <f t="shared" si="6"/>
        <v>23.21355655</v>
      </c>
      <c r="S30" s="4">
        <f t="shared" si="7"/>
        <v>25.01020825</v>
      </c>
      <c r="T30" s="4">
        <f t="shared" si="8"/>
        <v>26.82727644</v>
      </c>
      <c r="U30" s="2" t="s">
        <v>61</v>
      </c>
      <c r="V30" s="2" t="s">
        <v>219</v>
      </c>
    </row>
    <row r="31" ht="15.75" customHeight="1">
      <c r="A31" s="2" t="s">
        <v>213</v>
      </c>
      <c r="B31" s="2" t="s">
        <v>214</v>
      </c>
      <c r="C31" s="2">
        <v>1998.0</v>
      </c>
      <c r="D31" s="2" t="s">
        <v>171</v>
      </c>
      <c r="E31" s="2" t="s">
        <v>44</v>
      </c>
      <c r="F31" s="2" t="s">
        <v>26</v>
      </c>
      <c r="G31" s="3">
        <v>48.98</v>
      </c>
      <c r="H31" s="2">
        <v>7.0</v>
      </c>
      <c r="I31" s="2">
        <v>3.0</v>
      </c>
      <c r="J31" s="3">
        <v>12.09</v>
      </c>
      <c r="K31" s="3">
        <v>11.13</v>
      </c>
      <c r="L31" s="3">
        <v>12.44</v>
      </c>
      <c r="M31" s="3">
        <v>13.32</v>
      </c>
      <c r="N31" s="3">
        <v>23.22</v>
      </c>
      <c r="O31" s="3">
        <v>25.76</v>
      </c>
      <c r="P31" s="3">
        <v>2.54</v>
      </c>
      <c r="Q31" s="4">
        <f t="shared" si="5"/>
        <v>24.6835443</v>
      </c>
      <c r="R31" s="4">
        <f t="shared" si="6"/>
        <v>22.72356064</v>
      </c>
      <c r="S31" s="4">
        <f t="shared" si="7"/>
        <v>25.39812168</v>
      </c>
      <c r="T31" s="4">
        <f t="shared" si="8"/>
        <v>27.19477338</v>
      </c>
      <c r="U31" s="2"/>
      <c r="V31" s="2" t="s">
        <v>46</v>
      </c>
    </row>
    <row r="32" ht="15.75" customHeight="1">
      <c r="A32" s="2" t="s">
        <v>155</v>
      </c>
      <c r="B32" s="2" t="s">
        <v>156</v>
      </c>
      <c r="C32" s="2">
        <v>1996.0</v>
      </c>
      <c r="D32" s="2" t="s">
        <v>220</v>
      </c>
      <c r="E32" s="2" t="s">
        <v>221</v>
      </c>
      <c r="F32" s="2" t="s">
        <v>26</v>
      </c>
      <c r="G32" s="3">
        <v>48.99</v>
      </c>
      <c r="H32" s="2">
        <v>6.0</v>
      </c>
      <c r="I32" s="2">
        <v>1.0</v>
      </c>
      <c r="J32" s="3">
        <v>12.33</v>
      </c>
      <c r="K32" s="3">
        <v>11.34</v>
      </c>
      <c r="L32" s="3">
        <v>11.93</v>
      </c>
      <c r="M32" s="3">
        <v>13.39</v>
      </c>
      <c r="N32" s="3">
        <v>23.67</v>
      </c>
      <c r="O32" s="3">
        <v>25.32</v>
      </c>
      <c r="P32" s="3">
        <v>1.65</v>
      </c>
      <c r="Q32" s="4">
        <f t="shared" si="5"/>
        <v>25.16840171</v>
      </c>
      <c r="R32" s="4">
        <f t="shared" si="6"/>
        <v>23.14758114</v>
      </c>
      <c r="S32" s="4">
        <f t="shared" si="7"/>
        <v>24.35190855</v>
      </c>
      <c r="T32" s="4">
        <f t="shared" si="8"/>
        <v>27.33210859</v>
      </c>
      <c r="U32" s="2" t="s">
        <v>61</v>
      </c>
      <c r="V32" s="2" t="s">
        <v>74</v>
      </c>
    </row>
    <row r="33" ht="15.75" customHeight="1">
      <c r="A33" s="2" t="s">
        <v>199</v>
      </c>
      <c r="B33" s="2" t="s">
        <v>30</v>
      </c>
      <c r="C33" s="2">
        <v>1985.0</v>
      </c>
      <c r="D33" s="2" t="s">
        <v>222</v>
      </c>
      <c r="E33" s="2" t="s">
        <v>119</v>
      </c>
      <c r="F33" s="2" t="s">
        <v>26</v>
      </c>
      <c r="G33" s="3">
        <v>49.0</v>
      </c>
      <c r="H33" s="2">
        <v>3.0</v>
      </c>
      <c r="I33" s="2">
        <v>1.0</v>
      </c>
      <c r="J33" s="3">
        <v>11.81</v>
      </c>
      <c r="K33" s="3">
        <v>11.69</v>
      </c>
      <c r="L33" s="3">
        <v>12.12</v>
      </c>
      <c r="M33" s="3">
        <v>13.38</v>
      </c>
      <c r="N33" s="3">
        <v>23.5</v>
      </c>
      <c r="O33" s="3">
        <v>25.5</v>
      </c>
      <c r="P33" s="3">
        <v>2.0</v>
      </c>
      <c r="Q33" s="4">
        <f t="shared" si="5"/>
        <v>24.10204082</v>
      </c>
      <c r="R33" s="4">
        <f t="shared" si="6"/>
        <v>23.85714286</v>
      </c>
      <c r="S33" s="4">
        <f t="shared" si="7"/>
        <v>24.73469388</v>
      </c>
      <c r="T33" s="4">
        <f t="shared" si="8"/>
        <v>27.30612245</v>
      </c>
      <c r="U33" s="2"/>
      <c r="V33" s="2" t="s">
        <v>120</v>
      </c>
    </row>
    <row r="34" ht="15.75" customHeight="1">
      <c r="A34" s="2" t="s">
        <v>175</v>
      </c>
      <c r="B34" s="2" t="s">
        <v>176</v>
      </c>
      <c r="C34" s="2">
        <v>1968.0</v>
      </c>
      <c r="D34" s="2" t="s">
        <v>68</v>
      </c>
      <c r="E34" s="2" t="s">
        <v>69</v>
      </c>
      <c r="F34" s="2" t="s">
        <v>26</v>
      </c>
      <c r="G34" s="3">
        <v>48.83</v>
      </c>
      <c r="H34" s="2">
        <v>5.0</v>
      </c>
      <c r="I34" s="2">
        <v>1.0</v>
      </c>
      <c r="J34" s="2"/>
      <c r="K34" s="2"/>
      <c r="L34" s="3">
        <v>11.7</v>
      </c>
      <c r="M34" s="3">
        <v>13.4</v>
      </c>
      <c r="N34" s="3">
        <v>23.8</v>
      </c>
      <c r="O34" s="3">
        <v>25.1</v>
      </c>
      <c r="P34" s="3">
        <v>1.3</v>
      </c>
      <c r="Q34" s="2"/>
      <c r="R34" s="2"/>
      <c r="S34" s="4">
        <f t="shared" si="7"/>
        <v>23.96067991</v>
      </c>
      <c r="T34" s="4">
        <f t="shared" si="8"/>
        <v>27.44214622</v>
      </c>
      <c r="U34" s="2"/>
      <c r="V34" s="2" t="s">
        <v>70</v>
      </c>
    </row>
    <row r="35" ht="15.75" customHeight="1">
      <c r="A35" s="2" t="s">
        <v>223</v>
      </c>
      <c r="B35" s="2" t="s">
        <v>30</v>
      </c>
      <c r="C35" s="2">
        <v>1960.0</v>
      </c>
      <c r="D35" s="2" t="s">
        <v>224</v>
      </c>
      <c r="E35" s="2" t="s">
        <v>225</v>
      </c>
      <c r="F35" s="2" t="s">
        <v>26</v>
      </c>
      <c r="G35" s="3">
        <v>48.83</v>
      </c>
      <c r="H35" s="2">
        <v>5.0</v>
      </c>
      <c r="I35" s="2">
        <v>1.0</v>
      </c>
      <c r="J35" s="2"/>
      <c r="K35" s="2"/>
      <c r="L35" s="2"/>
      <c r="M35" s="2"/>
      <c r="N35" s="3">
        <v>23.5</v>
      </c>
      <c r="O35" s="3">
        <v>25.33</v>
      </c>
      <c r="P35" s="3">
        <v>1.83</v>
      </c>
      <c r="Q35" s="2"/>
      <c r="R35" s="2"/>
      <c r="S35" s="2"/>
      <c r="T35" s="2"/>
      <c r="U35" s="2" t="s">
        <v>177</v>
      </c>
      <c r="V35" s="2" t="s">
        <v>226</v>
      </c>
    </row>
    <row r="36" ht="15.75" customHeight="1">
      <c r="A36" s="2" t="s">
        <v>194</v>
      </c>
      <c r="B36" s="2" t="s">
        <v>195</v>
      </c>
      <c r="C36" s="2">
        <v>1963.0</v>
      </c>
      <c r="D36" s="2" t="s">
        <v>68</v>
      </c>
      <c r="E36" s="2" t="s">
        <v>69</v>
      </c>
      <c r="F36" s="2" t="s">
        <v>26</v>
      </c>
      <c r="G36" s="3">
        <v>49.05</v>
      </c>
      <c r="H36" s="2">
        <v>3.0</v>
      </c>
      <c r="I36" s="2">
        <v>2.0</v>
      </c>
      <c r="J36" s="2"/>
      <c r="K36" s="2"/>
      <c r="L36" s="3">
        <v>11.7</v>
      </c>
      <c r="M36" s="3">
        <v>13.7</v>
      </c>
      <c r="N36" s="3">
        <v>23.7</v>
      </c>
      <c r="O36" s="3">
        <v>25.4</v>
      </c>
      <c r="P36" s="3">
        <v>1.7</v>
      </c>
      <c r="Q36" s="2"/>
      <c r="R36" s="2"/>
      <c r="S36" s="4">
        <f t="shared" ref="S36:S38" si="9">L36/G36*100</f>
        <v>23.85321101</v>
      </c>
      <c r="T36" s="4">
        <f t="shared" ref="T36:T38" si="10">M36/G36*100</f>
        <v>27.93068298</v>
      </c>
      <c r="U36" s="2"/>
      <c r="V36" s="2" t="s">
        <v>70</v>
      </c>
    </row>
    <row r="37" ht="15.75" customHeight="1">
      <c r="A37" s="2" t="s">
        <v>162</v>
      </c>
      <c r="B37" s="2" t="s">
        <v>163</v>
      </c>
      <c r="C37" s="2">
        <v>1998.0</v>
      </c>
      <c r="D37" s="2" t="s">
        <v>227</v>
      </c>
      <c r="E37" s="2" t="s">
        <v>221</v>
      </c>
      <c r="F37" s="2" t="s">
        <v>26</v>
      </c>
      <c r="G37" s="3">
        <v>48.7</v>
      </c>
      <c r="H37" s="2">
        <v>6.0</v>
      </c>
      <c r="I37" s="2">
        <v>1.0</v>
      </c>
      <c r="J37" s="3">
        <v>11.96</v>
      </c>
      <c r="K37" s="3">
        <v>11.53</v>
      </c>
      <c r="L37" s="3">
        <v>12.27</v>
      </c>
      <c r="M37" s="3">
        <v>12.94</v>
      </c>
      <c r="N37" s="3">
        <v>23.49</v>
      </c>
      <c r="O37" s="3">
        <v>25.21</v>
      </c>
      <c r="P37" s="3">
        <v>1.72</v>
      </c>
      <c r="Q37" s="4">
        <f t="shared" ref="Q37:Q38" si="11">J37/G37*100</f>
        <v>24.55852156</v>
      </c>
      <c r="R37" s="4">
        <f t="shared" ref="R37:R38" si="12">K37/G37*100</f>
        <v>23.67556468</v>
      </c>
      <c r="S37" s="4">
        <f t="shared" si="9"/>
        <v>25.19507187</v>
      </c>
      <c r="T37" s="4">
        <f t="shared" si="10"/>
        <v>26.57084189</v>
      </c>
      <c r="U37" s="2"/>
      <c r="V37" s="2" t="s">
        <v>228</v>
      </c>
    </row>
    <row r="38" ht="15.75" customHeight="1">
      <c r="A38" s="2" t="s">
        <v>229</v>
      </c>
      <c r="B38" s="2" t="s">
        <v>230</v>
      </c>
      <c r="C38" s="2">
        <v>2002.0</v>
      </c>
      <c r="D38" s="2" t="s">
        <v>217</v>
      </c>
      <c r="E38" s="2" t="s">
        <v>218</v>
      </c>
      <c r="F38" s="2" t="s">
        <v>26</v>
      </c>
      <c r="G38" s="3">
        <v>49.07</v>
      </c>
      <c r="H38" s="2">
        <v>6.0</v>
      </c>
      <c r="I38" s="2">
        <v>2.0</v>
      </c>
      <c r="J38" s="3">
        <v>12.29</v>
      </c>
      <c r="K38" s="3">
        <v>11.4</v>
      </c>
      <c r="L38" s="3">
        <v>12.13</v>
      </c>
      <c r="M38" s="3">
        <v>13.25</v>
      </c>
      <c r="N38" s="3">
        <v>23.69</v>
      </c>
      <c r="O38" s="3">
        <v>25.38</v>
      </c>
      <c r="P38" s="3">
        <v>1.69</v>
      </c>
      <c r="Q38" s="4">
        <f t="shared" si="11"/>
        <v>25.04585286</v>
      </c>
      <c r="R38" s="4">
        <f t="shared" si="12"/>
        <v>23.23211738</v>
      </c>
      <c r="S38" s="4">
        <f t="shared" si="9"/>
        <v>24.71978806</v>
      </c>
      <c r="T38" s="4">
        <f t="shared" si="10"/>
        <v>27.0022417</v>
      </c>
      <c r="U38" s="2" t="s">
        <v>61</v>
      </c>
      <c r="V38" s="2" t="s">
        <v>219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38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.0"/>
    <col customWidth="1" min="3" max="14" width="14.0"/>
    <col customWidth="1" min="15" max="26" width="8.71"/>
  </cols>
  <sheetData>
    <row r="1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</row>
    <row r="2">
      <c r="A2" s="2" t="s">
        <v>245</v>
      </c>
      <c r="B2" s="2" t="s">
        <v>246</v>
      </c>
      <c r="C2" s="3">
        <v>43.18</v>
      </c>
      <c r="D2" s="3">
        <v>25.7</v>
      </c>
      <c r="E2" s="3">
        <v>23.43</v>
      </c>
      <c r="F2" s="3">
        <v>24.17</v>
      </c>
      <c r="G2" s="3">
        <v>26.67</v>
      </c>
      <c r="H2" s="3">
        <f t="shared" ref="H2:H15" si="1">C2*D2/100</f>
        <v>11.09726</v>
      </c>
      <c r="I2" s="3">
        <f t="shared" ref="I2:I15" si="2">C2*E2/100</f>
        <v>10.117074</v>
      </c>
      <c r="J2" s="3">
        <f t="shared" ref="J2:J15" si="3">C2*F2/100</f>
        <v>10.436606</v>
      </c>
      <c r="K2" s="3">
        <f t="shared" ref="K2:K15" si="4">C2*G2/100</f>
        <v>11.516106</v>
      </c>
      <c r="L2" s="3">
        <f t="shared" ref="L2:L15" si="5">H2+I2</f>
        <v>21.214334</v>
      </c>
      <c r="M2" s="3">
        <f t="shared" ref="M2:M15" si="6">J2+K2</f>
        <v>21.952712</v>
      </c>
      <c r="N2" s="3">
        <f t="shared" ref="N2:N15" si="7">M2-L2</f>
        <v>0.738378</v>
      </c>
    </row>
    <row r="3">
      <c r="A3" s="2" t="s">
        <v>247</v>
      </c>
      <c r="B3" s="2" t="s">
        <v>246</v>
      </c>
      <c r="C3" s="3">
        <v>43.6</v>
      </c>
      <c r="D3" s="3">
        <v>25.11</v>
      </c>
      <c r="E3" s="3">
        <v>23.1</v>
      </c>
      <c r="F3" s="3">
        <v>24.72</v>
      </c>
      <c r="G3" s="3">
        <v>27.07</v>
      </c>
      <c r="H3" s="3">
        <f t="shared" si="1"/>
        <v>10.94796</v>
      </c>
      <c r="I3" s="3">
        <f t="shared" si="2"/>
        <v>10.0716</v>
      </c>
      <c r="J3" s="3">
        <f t="shared" si="3"/>
        <v>10.77792</v>
      </c>
      <c r="K3" s="3">
        <f t="shared" si="4"/>
        <v>11.80252</v>
      </c>
      <c r="L3" s="3">
        <f t="shared" si="5"/>
        <v>21.01956</v>
      </c>
      <c r="M3" s="3">
        <f t="shared" si="6"/>
        <v>22.58044</v>
      </c>
      <c r="N3" s="3">
        <f t="shared" si="7"/>
        <v>1.56088</v>
      </c>
    </row>
    <row r="4">
      <c r="A4" s="2" t="s">
        <v>248</v>
      </c>
      <c r="B4" s="2" t="s">
        <v>246</v>
      </c>
      <c r="C4" s="3">
        <v>44.0</v>
      </c>
      <c r="D4" s="3">
        <v>25.25</v>
      </c>
      <c r="E4" s="3">
        <v>23.3</v>
      </c>
      <c r="F4" s="3">
        <v>24.55</v>
      </c>
      <c r="G4" s="3">
        <v>26.9</v>
      </c>
      <c r="H4" s="3">
        <f t="shared" si="1"/>
        <v>11.11</v>
      </c>
      <c r="I4" s="3">
        <f t="shared" si="2"/>
        <v>10.252</v>
      </c>
      <c r="J4" s="3">
        <f t="shared" si="3"/>
        <v>10.802</v>
      </c>
      <c r="K4" s="3">
        <f t="shared" si="4"/>
        <v>11.836</v>
      </c>
      <c r="L4" s="3">
        <f t="shared" si="5"/>
        <v>21.362</v>
      </c>
      <c r="M4" s="3">
        <f t="shared" si="6"/>
        <v>22.638</v>
      </c>
      <c r="N4" s="3">
        <f t="shared" si="7"/>
        <v>1.276</v>
      </c>
    </row>
    <row r="5">
      <c r="A5" s="2" t="s">
        <v>249</v>
      </c>
      <c r="B5" s="2" t="s">
        <v>246</v>
      </c>
      <c r="C5" s="3">
        <v>45.25</v>
      </c>
      <c r="D5" s="3">
        <v>25.1</v>
      </c>
      <c r="E5" s="3">
        <v>23.2</v>
      </c>
      <c r="F5" s="3">
        <v>24.6</v>
      </c>
      <c r="G5" s="3">
        <v>27.1</v>
      </c>
      <c r="H5" s="3">
        <f t="shared" si="1"/>
        <v>11.35775</v>
      </c>
      <c r="I5" s="3">
        <f t="shared" si="2"/>
        <v>10.498</v>
      </c>
      <c r="J5" s="3">
        <f t="shared" si="3"/>
        <v>11.1315</v>
      </c>
      <c r="K5" s="3">
        <f t="shared" si="4"/>
        <v>12.26275</v>
      </c>
      <c r="L5" s="3">
        <f t="shared" si="5"/>
        <v>21.85575</v>
      </c>
      <c r="M5" s="3">
        <f t="shared" si="6"/>
        <v>23.39425</v>
      </c>
      <c r="N5" s="3">
        <f t="shared" si="7"/>
        <v>1.5385</v>
      </c>
    </row>
    <row r="6">
      <c r="A6" s="2" t="s">
        <v>250</v>
      </c>
      <c r="B6" s="2" t="s">
        <v>246</v>
      </c>
      <c r="C6" s="3">
        <v>47.0</v>
      </c>
      <c r="D6" s="3">
        <v>25.0</v>
      </c>
      <c r="E6" s="3">
        <v>23.1</v>
      </c>
      <c r="F6" s="3">
        <v>24.5</v>
      </c>
      <c r="G6" s="3">
        <v>27.4</v>
      </c>
      <c r="H6" s="3">
        <f t="shared" si="1"/>
        <v>11.75</v>
      </c>
      <c r="I6" s="3">
        <f t="shared" si="2"/>
        <v>10.857</v>
      </c>
      <c r="J6" s="3">
        <f t="shared" si="3"/>
        <v>11.515</v>
      </c>
      <c r="K6" s="3">
        <f t="shared" si="4"/>
        <v>12.878</v>
      </c>
      <c r="L6" s="3">
        <f t="shared" si="5"/>
        <v>22.607</v>
      </c>
      <c r="M6" s="3">
        <f t="shared" si="6"/>
        <v>24.393</v>
      </c>
      <c r="N6" s="3">
        <f t="shared" si="7"/>
        <v>1.786</v>
      </c>
    </row>
    <row r="7">
      <c r="A7" s="2" t="s">
        <v>251</v>
      </c>
      <c r="B7" s="2" t="s">
        <v>246</v>
      </c>
      <c r="C7" s="3">
        <v>50.0</v>
      </c>
      <c r="D7" s="3">
        <v>24.8</v>
      </c>
      <c r="E7" s="3">
        <v>23.0</v>
      </c>
      <c r="F7" s="3">
        <v>24.6</v>
      </c>
      <c r="G7" s="3">
        <v>27.6</v>
      </c>
      <c r="H7" s="3">
        <f t="shared" si="1"/>
        <v>12.4</v>
      </c>
      <c r="I7" s="3">
        <f t="shared" si="2"/>
        <v>11.5</v>
      </c>
      <c r="J7" s="3">
        <f t="shared" si="3"/>
        <v>12.3</v>
      </c>
      <c r="K7" s="3">
        <f t="shared" si="4"/>
        <v>13.8</v>
      </c>
      <c r="L7" s="3">
        <f t="shared" si="5"/>
        <v>23.9</v>
      </c>
      <c r="M7" s="3">
        <f t="shared" si="6"/>
        <v>26.1</v>
      </c>
      <c r="N7" s="3">
        <f t="shared" si="7"/>
        <v>2.2</v>
      </c>
    </row>
    <row r="8">
      <c r="A8" s="2" t="s">
        <v>252</v>
      </c>
      <c r="B8" s="2" t="s">
        <v>246</v>
      </c>
      <c r="C8" s="3">
        <v>55.0</v>
      </c>
      <c r="D8" s="3">
        <v>24.5</v>
      </c>
      <c r="E8" s="3">
        <v>22.8</v>
      </c>
      <c r="F8" s="3">
        <v>24.8</v>
      </c>
      <c r="G8" s="3">
        <v>27.9</v>
      </c>
      <c r="H8" s="3">
        <f t="shared" si="1"/>
        <v>13.475</v>
      </c>
      <c r="I8" s="3">
        <f t="shared" si="2"/>
        <v>12.54</v>
      </c>
      <c r="J8" s="3">
        <f t="shared" si="3"/>
        <v>13.64</v>
      </c>
      <c r="K8" s="3">
        <f t="shared" si="4"/>
        <v>15.345</v>
      </c>
      <c r="L8" s="3">
        <f t="shared" si="5"/>
        <v>26.015</v>
      </c>
      <c r="M8" s="3">
        <f t="shared" si="6"/>
        <v>28.985</v>
      </c>
      <c r="N8" s="3">
        <f t="shared" si="7"/>
        <v>2.97</v>
      </c>
    </row>
    <row r="9">
      <c r="A9" s="2" t="s">
        <v>245</v>
      </c>
      <c r="B9" s="2" t="s">
        <v>253</v>
      </c>
      <c r="C9" s="3">
        <v>47.6</v>
      </c>
      <c r="D9" s="3">
        <v>23.74</v>
      </c>
      <c r="E9" s="3">
        <v>24.37</v>
      </c>
      <c r="F9" s="3">
        <v>24.58</v>
      </c>
      <c r="G9" s="3">
        <v>27.31</v>
      </c>
      <c r="H9" s="3">
        <f t="shared" si="1"/>
        <v>11.30024</v>
      </c>
      <c r="I9" s="3">
        <f t="shared" si="2"/>
        <v>11.60012</v>
      </c>
      <c r="J9" s="3">
        <f t="shared" si="3"/>
        <v>11.70008</v>
      </c>
      <c r="K9" s="3">
        <f t="shared" si="4"/>
        <v>12.99956</v>
      </c>
      <c r="L9" s="3">
        <f t="shared" si="5"/>
        <v>22.90036</v>
      </c>
      <c r="M9" s="3">
        <f t="shared" si="6"/>
        <v>24.69964</v>
      </c>
      <c r="N9" s="3">
        <f t="shared" si="7"/>
        <v>1.79928</v>
      </c>
    </row>
    <row r="10">
      <c r="A10" s="2" t="s">
        <v>254</v>
      </c>
      <c r="B10" s="2" t="s">
        <v>253</v>
      </c>
      <c r="C10" s="3">
        <v>48.15</v>
      </c>
      <c r="D10" s="3">
        <v>24.8</v>
      </c>
      <c r="E10" s="3">
        <v>23.3</v>
      </c>
      <c r="F10" s="3">
        <v>24.7</v>
      </c>
      <c r="G10" s="3">
        <v>27.2</v>
      </c>
      <c r="H10" s="3">
        <f t="shared" si="1"/>
        <v>11.9412</v>
      </c>
      <c r="I10" s="3">
        <f t="shared" si="2"/>
        <v>11.21895</v>
      </c>
      <c r="J10" s="3">
        <f t="shared" si="3"/>
        <v>11.89305</v>
      </c>
      <c r="K10" s="3">
        <f t="shared" si="4"/>
        <v>13.0968</v>
      </c>
      <c r="L10" s="3">
        <f t="shared" si="5"/>
        <v>23.16015</v>
      </c>
      <c r="M10" s="3">
        <f t="shared" si="6"/>
        <v>24.98985</v>
      </c>
      <c r="N10" s="3">
        <f t="shared" si="7"/>
        <v>1.8297</v>
      </c>
    </row>
    <row r="11">
      <c r="A11" s="2" t="s">
        <v>255</v>
      </c>
      <c r="B11" s="2" t="s">
        <v>253</v>
      </c>
      <c r="C11" s="3">
        <v>49.0</v>
      </c>
      <c r="D11" s="3">
        <v>24.7</v>
      </c>
      <c r="E11" s="3">
        <v>23.0</v>
      </c>
      <c r="F11" s="3">
        <v>24.8</v>
      </c>
      <c r="G11" s="3">
        <v>27.5</v>
      </c>
      <c r="H11" s="3">
        <f t="shared" si="1"/>
        <v>12.103</v>
      </c>
      <c r="I11" s="3">
        <f t="shared" si="2"/>
        <v>11.27</v>
      </c>
      <c r="J11" s="3">
        <f t="shared" si="3"/>
        <v>12.152</v>
      </c>
      <c r="K11" s="3">
        <f t="shared" si="4"/>
        <v>13.475</v>
      </c>
      <c r="L11" s="3">
        <f t="shared" si="5"/>
        <v>23.373</v>
      </c>
      <c r="M11" s="3">
        <f t="shared" si="6"/>
        <v>25.627</v>
      </c>
      <c r="N11" s="3">
        <f t="shared" si="7"/>
        <v>2.254</v>
      </c>
    </row>
    <row r="12">
      <c r="A12" s="2" t="s">
        <v>256</v>
      </c>
      <c r="B12" s="2" t="s">
        <v>253</v>
      </c>
      <c r="C12" s="3">
        <v>50.75</v>
      </c>
      <c r="D12" s="3">
        <v>24.6</v>
      </c>
      <c r="E12" s="3">
        <v>23.0</v>
      </c>
      <c r="F12" s="3">
        <v>24.7</v>
      </c>
      <c r="G12" s="3">
        <v>27.7</v>
      </c>
      <c r="H12" s="3">
        <f t="shared" si="1"/>
        <v>12.4845</v>
      </c>
      <c r="I12" s="3">
        <f t="shared" si="2"/>
        <v>11.6725</v>
      </c>
      <c r="J12" s="3">
        <f t="shared" si="3"/>
        <v>12.53525</v>
      </c>
      <c r="K12" s="3">
        <f t="shared" si="4"/>
        <v>14.05775</v>
      </c>
      <c r="L12" s="3">
        <f t="shared" si="5"/>
        <v>24.157</v>
      </c>
      <c r="M12" s="3">
        <f t="shared" si="6"/>
        <v>26.593</v>
      </c>
      <c r="N12" s="3">
        <f t="shared" si="7"/>
        <v>2.436</v>
      </c>
    </row>
    <row r="13">
      <c r="A13" s="2" t="s">
        <v>257</v>
      </c>
      <c r="B13" s="2" t="s">
        <v>253</v>
      </c>
      <c r="C13" s="3">
        <v>53.5</v>
      </c>
      <c r="D13" s="3">
        <v>24.5</v>
      </c>
      <c r="E13" s="3">
        <v>22.9</v>
      </c>
      <c r="F13" s="3">
        <v>24.7</v>
      </c>
      <c r="G13" s="3">
        <v>27.9</v>
      </c>
      <c r="H13" s="3">
        <f t="shared" si="1"/>
        <v>13.1075</v>
      </c>
      <c r="I13" s="3">
        <f t="shared" si="2"/>
        <v>12.2515</v>
      </c>
      <c r="J13" s="3">
        <f t="shared" si="3"/>
        <v>13.2145</v>
      </c>
      <c r="K13" s="3">
        <f t="shared" si="4"/>
        <v>14.9265</v>
      </c>
      <c r="L13" s="3">
        <f t="shared" si="5"/>
        <v>25.359</v>
      </c>
      <c r="M13" s="3">
        <f t="shared" si="6"/>
        <v>28.141</v>
      </c>
      <c r="N13" s="3">
        <f t="shared" si="7"/>
        <v>2.782</v>
      </c>
    </row>
    <row r="14">
      <c r="A14" s="2" t="s">
        <v>258</v>
      </c>
      <c r="B14" s="2" t="s">
        <v>253</v>
      </c>
      <c r="C14" s="3">
        <v>57.5</v>
      </c>
      <c r="D14" s="3">
        <v>24.3</v>
      </c>
      <c r="E14" s="3">
        <v>22.7</v>
      </c>
      <c r="F14" s="3">
        <v>24.8</v>
      </c>
      <c r="G14" s="3">
        <v>28.2</v>
      </c>
      <c r="H14" s="3">
        <f t="shared" si="1"/>
        <v>13.9725</v>
      </c>
      <c r="I14" s="3">
        <f t="shared" si="2"/>
        <v>13.0525</v>
      </c>
      <c r="J14" s="3">
        <f t="shared" si="3"/>
        <v>14.26</v>
      </c>
      <c r="K14" s="3">
        <f t="shared" si="4"/>
        <v>16.215</v>
      </c>
      <c r="L14" s="3">
        <f t="shared" si="5"/>
        <v>27.025</v>
      </c>
      <c r="M14" s="3">
        <f t="shared" si="6"/>
        <v>30.475</v>
      </c>
      <c r="N14" s="3">
        <f t="shared" si="7"/>
        <v>3.45</v>
      </c>
    </row>
    <row r="15">
      <c r="A15" s="2" t="s">
        <v>259</v>
      </c>
      <c r="B15" s="2" t="s">
        <v>253</v>
      </c>
      <c r="C15" s="3">
        <v>64.0</v>
      </c>
      <c r="D15" s="3">
        <v>24.0</v>
      </c>
      <c r="E15" s="3">
        <v>22.5</v>
      </c>
      <c r="F15" s="3">
        <v>24.9</v>
      </c>
      <c r="G15" s="3">
        <v>28.6</v>
      </c>
      <c r="H15" s="3">
        <f t="shared" si="1"/>
        <v>15.36</v>
      </c>
      <c r="I15" s="3">
        <f t="shared" si="2"/>
        <v>14.4</v>
      </c>
      <c r="J15" s="3">
        <f t="shared" si="3"/>
        <v>15.936</v>
      </c>
      <c r="K15" s="3">
        <f t="shared" si="4"/>
        <v>18.304</v>
      </c>
      <c r="L15" s="3">
        <f t="shared" si="5"/>
        <v>29.76</v>
      </c>
      <c r="M15" s="3">
        <f t="shared" si="6"/>
        <v>34.24</v>
      </c>
      <c r="N15" s="3">
        <f t="shared" si="7"/>
        <v>4.48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4" width="16.0"/>
    <col customWidth="1" min="5" max="5" width="14.0"/>
    <col customWidth="1" min="6" max="26" width="8.71"/>
  </cols>
  <sheetData>
    <row r="1">
      <c r="A1" s="5" t="s">
        <v>260</v>
      </c>
    </row>
    <row r="3">
      <c r="A3" s="6" t="s">
        <v>261</v>
      </c>
      <c r="C3" s="7">
        <v>48.0</v>
      </c>
    </row>
    <row r="4">
      <c r="A4" s="6" t="s">
        <v>262</v>
      </c>
      <c r="C4" s="8" t="s">
        <v>263</v>
      </c>
    </row>
    <row r="6">
      <c r="A6" s="9" t="s">
        <v>264</v>
      </c>
    </row>
    <row r="7">
      <c r="A7" s="1" t="s">
        <v>265</v>
      </c>
      <c r="B7" s="1" t="s">
        <v>266</v>
      </c>
      <c r="C7" s="1" t="s">
        <v>267</v>
      </c>
      <c r="D7" s="1" t="s">
        <v>268</v>
      </c>
      <c r="E7" s="1" t="s">
        <v>269</v>
      </c>
    </row>
    <row r="8">
      <c r="A8" s="2" t="s">
        <v>270</v>
      </c>
      <c r="B8" s="2">
        <f>IF(C4="M", C3*0.251, C3*0.247)</f>
        <v>12.048</v>
      </c>
      <c r="C8" s="2">
        <f>B8</f>
        <v>12.048</v>
      </c>
      <c r="D8" s="2">
        <f t="shared" ref="D8:D11" si="1">100/B8</f>
        <v>8.300132802</v>
      </c>
      <c r="E8" s="2">
        <f>B8/C3*100</f>
        <v>25.1</v>
      </c>
    </row>
    <row r="9">
      <c r="A9" s="2" t="s">
        <v>271</v>
      </c>
      <c r="B9" s="2">
        <f>IF(C4="M", C3*0.232, C3*0.23)</f>
        <v>11.136</v>
      </c>
      <c r="C9" s="2">
        <f t="shared" ref="C9:C11" si="2">C8+B9</f>
        <v>23.184</v>
      </c>
      <c r="D9" s="2">
        <f t="shared" si="1"/>
        <v>8.979885057</v>
      </c>
      <c r="E9" s="2">
        <f>B9/C3*100</f>
        <v>23.2</v>
      </c>
    </row>
    <row r="10">
      <c r="A10" s="2" t="s">
        <v>272</v>
      </c>
      <c r="B10" s="2">
        <f>IF(C4="M", C3*0.246, C3*0.247)</f>
        <v>11.808</v>
      </c>
      <c r="C10" s="2">
        <f t="shared" si="2"/>
        <v>34.992</v>
      </c>
      <c r="D10" s="2">
        <f t="shared" si="1"/>
        <v>8.468834688</v>
      </c>
      <c r="E10" s="2">
        <f>B10/C3*100</f>
        <v>24.6</v>
      </c>
    </row>
    <row r="11">
      <c r="A11" s="2" t="s">
        <v>273</v>
      </c>
      <c r="B11" s="2">
        <f>IF(C4="M", C3*0.271, C3*0.276)</f>
        <v>13.008</v>
      </c>
      <c r="C11" s="2">
        <f t="shared" si="2"/>
        <v>48</v>
      </c>
      <c r="D11" s="2">
        <f t="shared" si="1"/>
        <v>7.687576876</v>
      </c>
      <c r="E11" s="2">
        <f>B11/C3*100</f>
        <v>27.1</v>
      </c>
    </row>
    <row r="12">
      <c r="A12" s="6" t="s">
        <v>274</v>
      </c>
      <c r="B12" s="10">
        <f>SUM(B8:B11)</f>
        <v>48</v>
      </c>
      <c r="C12" s="10">
        <f>C11</f>
        <v>48</v>
      </c>
    </row>
    <row r="14">
      <c r="A14" s="11" t="s">
        <v>275</v>
      </c>
      <c r="B14" s="11">
        <f>B8+B9</f>
        <v>23.184</v>
      </c>
    </row>
    <row r="15">
      <c r="A15" s="11" t="s">
        <v>276</v>
      </c>
      <c r="B15" s="11">
        <f>B10+B11</f>
        <v>24.816</v>
      </c>
    </row>
    <row r="16">
      <c r="A16" s="11" t="s">
        <v>244</v>
      </c>
      <c r="B16" s="12">
        <f>B15-B14</f>
        <v>1.632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80.0"/>
    <col customWidth="1" min="4" max="26" width="8.71"/>
  </cols>
  <sheetData>
    <row r="1">
      <c r="A1" s="5" t="s">
        <v>277</v>
      </c>
    </row>
    <row r="2">
      <c r="A2" s="13" t="s">
        <v>278</v>
      </c>
      <c r="B2" s="13" t="s">
        <v>279</v>
      </c>
      <c r="C2" s="13" t="s">
        <v>280</v>
      </c>
    </row>
    <row r="3">
      <c r="A3" s="13"/>
      <c r="B3" s="13"/>
      <c r="C3" s="13" t="s">
        <v>281</v>
      </c>
    </row>
    <row r="4">
      <c r="A4" s="13" t="s">
        <v>282</v>
      </c>
      <c r="B4" s="13" t="s">
        <v>33</v>
      </c>
      <c r="C4" s="13" t="s">
        <v>283</v>
      </c>
    </row>
    <row r="5">
      <c r="A5" s="13"/>
      <c r="B5" s="13" t="s">
        <v>53</v>
      </c>
      <c r="C5" s="13" t="s">
        <v>284</v>
      </c>
    </row>
    <row r="6">
      <c r="A6" s="13"/>
      <c r="B6" s="13" t="s">
        <v>120</v>
      </c>
      <c r="C6" s="13" t="s">
        <v>285</v>
      </c>
    </row>
    <row r="7">
      <c r="A7" s="13"/>
      <c r="B7" s="13" t="s">
        <v>106</v>
      </c>
      <c r="C7" s="13" t="s">
        <v>286</v>
      </c>
    </row>
    <row r="8">
      <c r="A8" s="13"/>
      <c r="B8" s="13" t="s">
        <v>287</v>
      </c>
      <c r="C8" s="13" t="s">
        <v>288</v>
      </c>
    </row>
    <row r="9">
      <c r="A9" s="13" t="s">
        <v>289</v>
      </c>
      <c r="B9" s="13" t="s">
        <v>290</v>
      </c>
      <c r="C9" s="13" t="s">
        <v>291</v>
      </c>
    </row>
    <row r="10">
      <c r="A10" s="13"/>
      <c r="B10" s="13" t="s">
        <v>292</v>
      </c>
      <c r="C10" s="13" t="s">
        <v>293</v>
      </c>
    </row>
    <row r="11">
      <c r="A11" s="13"/>
      <c r="B11" s="13" t="s">
        <v>46</v>
      </c>
      <c r="C11" s="13" t="s">
        <v>294</v>
      </c>
    </row>
    <row r="12">
      <c r="A12" s="13"/>
      <c r="B12" s="13"/>
      <c r="C12" s="13"/>
    </row>
    <row r="13">
      <c r="A13" s="13" t="s">
        <v>295</v>
      </c>
      <c r="B13" s="13"/>
      <c r="C13" s="13"/>
    </row>
    <row r="14">
      <c r="A14" s="13"/>
      <c r="B14" s="13" t="s">
        <v>296</v>
      </c>
      <c r="C14" s="13"/>
    </row>
    <row r="15">
      <c r="A15" s="13"/>
      <c r="B15" s="13" t="s">
        <v>297</v>
      </c>
      <c r="C15" s="13"/>
    </row>
    <row r="16">
      <c r="A16" s="13"/>
      <c r="B16" s="13" t="s">
        <v>298</v>
      </c>
      <c r="C16" s="13"/>
    </row>
    <row r="17">
      <c r="A17" s="13"/>
      <c r="B17" s="13" t="s">
        <v>299</v>
      </c>
      <c r="C17" s="13"/>
    </row>
    <row r="18">
      <c r="A18" s="13"/>
      <c r="B18" s="13" t="s">
        <v>300</v>
      </c>
      <c r="C18" s="13"/>
    </row>
    <row r="19">
      <c r="A19" s="13"/>
      <c r="B19" s="13" t="s">
        <v>301</v>
      </c>
      <c r="C19" s="13"/>
    </row>
    <row r="20">
      <c r="A20" s="13"/>
      <c r="B20" s="13" t="s">
        <v>302</v>
      </c>
      <c r="C20" s="13"/>
    </row>
    <row r="21" ht="15.75" customHeight="1">
      <c r="A21" s="13"/>
      <c r="B21" s="13" t="s">
        <v>303</v>
      </c>
      <c r="C21" s="13"/>
    </row>
    <row r="22" ht="15.75" customHeight="1">
      <c r="A22" s="13"/>
      <c r="B22" s="13" t="s">
        <v>304</v>
      </c>
      <c r="C22" s="13"/>
    </row>
    <row r="23" ht="15.75" customHeight="1">
      <c r="A23" s="13"/>
      <c r="C23" s="13"/>
    </row>
    <row r="24" ht="15.75" customHeight="1">
      <c r="A24" s="13"/>
      <c r="C24" s="1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2026-03-21T01:14:44Z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