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200m Splits" sheetId="1" state="visible" r:id="rId3"/>
    <sheet name="Women 200m Splits" sheetId="2" state="visible" r:id="rId4"/>
    <sheet name="Pacing Model" sheetId="3" state="visible" r:id="rId5"/>
    <sheet name="Pace Calculator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<sst xmlns="http://schemas.openxmlformats.org/spreadsheetml/2006/main" count="299" uniqueCount="171">
  <si>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</si>
  <si>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</si>
  <si>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</si>
  <si>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</si>
  <si>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</si>
  <si>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Round</t>
  </si>
  <si>
    <t xml:space="preserve">Official Time (s)</t>
  </si>
  <si>
    <t xml:space="preserve">Wind (m/s)</t>
  </si>
  <si>
    <t xml:space="preserve">Lane</t>
  </si>
  <si>
    <t xml:space="preserve">Place</t>
  </si>
  <si>
    <t xml:space="preserve">0-50m (s)</t>
  </si>
  <si>
    <t xml:space="preserve">50-100m (s)</t>
  </si>
  <si>
    <t xml:space="preserve">100-150m (s)</t>
  </si>
  <si>
    <t xml:space="preserve">150-200m (s)</t>
  </si>
  <si>
    <t xml:space="preserve">0-100m (s)</t>
  </si>
  <si>
    <t xml:space="preserve">100-200m (s)</t>
  </si>
  <si>
    <t xml:space="preserve">Differential (s)</t>
  </si>
  <si>
    <t xml:space="preserve">% 0-50</t>
  </si>
  <si>
    <t xml:space="preserve">% 50-100</t>
  </si>
  <si>
    <t xml:space="preserve">% 100-150</t>
  </si>
  <si>
    <t xml:space="preserve">% 150-200</t>
  </si>
  <si>
    <t xml:space="preserve">Record Type</t>
  </si>
  <si>
    <t xml:space="preserve">Source</t>
  </si>
  <si>
    <t xml:space="preserve">Bolt, Usain</t>
  </si>
  <si>
    <t xml:space="preserve">JAM</t>
  </si>
  <si>
    <t xml:space="preserve">2009-08-20</t>
  </si>
  <si>
    <t xml:space="preserve">World Championships Berlin</t>
  </si>
  <si>
    <t xml:space="preserve">Final</t>
  </si>
  <si>
    <t xml:space="preserve">WR</t>
  </si>
  <si>
    <t xml:space="preserve">Graubner (2011) IAAF</t>
  </si>
  <si>
    <t xml:space="preserve">2008-08-20</t>
  </si>
  <si>
    <t xml:space="preserve">Olympic Games Beijing</t>
  </si>
  <si>
    <t xml:space="preserve">SpeedEndurance (2008)</t>
  </si>
  <si>
    <t xml:space="preserve">Lyles, Noah</t>
  </si>
  <si>
    <t xml:space="preserve">USA</t>
  </si>
  <si>
    <t xml:space="preserve">2022-07-16</t>
  </si>
  <si>
    <t xml:space="preserve">World Championships Eugene</t>
  </si>
  <si>
    <t xml:space="preserve">PB</t>
  </si>
  <si>
    <t xml:space="preserve">Omega Timing (2022)</t>
  </si>
  <si>
    <t xml:space="preserve">Johnson, Michael</t>
  </si>
  <si>
    <t xml:space="preserve">1996-08-01</t>
  </si>
  <si>
    <t xml:space="preserve">Olympic Games Atlanta</t>
  </si>
  <si>
    <t xml:space="preserve">USATF Timing (1996)</t>
  </si>
  <si>
    <t xml:space="preserve">Blake, Yohan</t>
  </si>
  <si>
    <t xml:space="preserve">2011-09-16</t>
  </si>
  <si>
    <t xml:space="preserve">Memorial Van Damme Brussels</t>
  </si>
  <si>
    <t xml:space="preserve">SpeedEndurance (2017)</t>
  </si>
  <si>
    <t xml:space="preserve">2011-09-03</t>
  </si>
  <si>
    <t xml:space="preserve">World Championships Daegu</t>
  </si>
  <si>
    <t xml:space="preserve">CR</t>
  </si>
  <si>
    <t xml:space="preserve">KSSB Biomechanics (2011)</t>
  </si>
  <si>
    <t xml:space="preserve">2012-08-09</t>
  </si>
  <si>
    <t xml:space="preserve">Olympic Games London</t>
  </si>
  <si>
    <t xml:space="preserve">OR</t>
  </si>
  <si>
    <t xml:space="preserve">IAAF Scientific Report (2012)</t>
  </si>
  <si>
    <t xml:space="preserve">2024-08-08</t>
  </si>
  <si>
    <t xml:space="preserve">Olympic Games Paris</t>
  </si>
  <si>
    <t xml:space="preserve">SB</t>
  </si>
  <si>
    <t xml:space="preserve">Paris 2024 Results Book</t>
  </si>
  <si>
    <t xml:space="preserve">Tebogo, Letsile</t>
  </si>
  <si>
    <t xml:space="preserve">BOT</t>
  </si>
  <si>
    <t xml:space="preserve">AR/NR</t>
  </si>
  <si>
    <t xml:space="preserve">Fredericks, Frankie</t>
  </si>
  <si>
    <t xml:space="preserve">NAM</t>
  </si>
  <si>
    <t xml:space="preserve">AR</t>
  </si>
  <si>
    <t xml:space="preserve">1999-08-28</t>
  </si>
  <si>
    <t xml:space="preserve">World Championships Seville</t>
  </si>
  <si>
    <t xml:space="preserve">Ferro (2001)</t>
  </si>
  <si>
    <t xml:space="preserve">Spearmon, Wallace</t>
  </si>
  <si>
    <t xml:space="preserve">2007-09-08</t>
  </si>
  <si>
    <t xml:space="preserve">IAAF Grand Prix Rieti</t>
  </si>
  <si>
    <t xml:space="preserve">T&amp;FN (2007)</t>
  </si>
  <si>
    <t xml:space="preserve">DeLoach, Joe</t>
  </si>
  <si>
    <t xml:space="preserve">1988-09-28</t>
  </si>
  <si>
    <t xml:space="preserve">Olympic Games Seoul</t>
  </si>
  <si>
    <t xml:space="preserve">Brüggemann (1990)</t>
  </si>
  <si>
    <t xml:space="preserve">Lewis, Carl</t>
  </si>
  <si>
    <t xml:space="preserve">Knighton, Erriyon</t>
  </si>
  <si>
    <t xml:space="preserve">Griffith-Joyner, Florence</t>
  </si>
  <si>
    <t xml:space="preserve">1988-09-29</t>
  </si>
  <si>
    <t xml:space="preserve">Jackson, Shericka</t>
  </si>
  <si>
    <t xml:space="preserve">2022-07-21</t>
  </si>
  <si>
    <t xml:space="preserve">NR/PB</t>
  </si>
  <si>
    <t xml:space="preserve">Mboma, Christine</t>
  </si>
  <si>
    <t xml:space="preserve">2021-08-03</t>
  </si>
  <si>
    <t xml:space="preserve">Olympic Games Tokyo</t>
  </si>
  <si>
    <t xml:space="preserve">WJR/NR</t>
  </si>
  <si>
    <t xml:space="preserve">Omega Timing (2021)</t>
  </si>
  <si>
    <t xml:space="preserve">Fraser-Pryce, Shelly-Ann</t>
  </si>
  <si>
    <t xml:space="preserve">Thompson-Herah, Elaine</t>
  </si>
  <si>
    <t xml:space="preserve">OR/NR</t>
  </si>
  <si>
    <t xml:space="preserve">Jones, Marion</t>
  </si>
  <si>
    <t xml:space="preserve">1998-09-11</t>
  </si>
  <si>
    <t xml:space="preserve">Omega Timing (1998)</t>
  </si>
  <si>
    <t xml:space="preserve">Campbell-Brown, Veronica</t>
  </si>
  <si>
    <t xml:space="preserve">NR</t>
  </si>
  <si>
    <t xml:space="preserve">Richardson, Sha'Carri</t>
  </si>
  <si>
    <t xml:space="preserve">2024-08-06</t>
  </si>
  <si>
    <t xml:space="preserve">2023-08-25</t>
  </si>
  <si>
    <t xml:space="preserve">World Championships Budapest</t>
  </si>
  <si>
    <t xml:space="preserve">Seiko Timing (2023)</t>
  </si>
  <si>
    <t xml:space="preserve">Performance Level</t>
  </si>
  <si>
    <t xml:space="preserve">Gender</t>
  </si>
  <si>
    <t xml:space="preserve">Target Time (s)</t>
  </si>
  <si>
    <t xml:space="preserve">% 0-50m</t>
  </si>
  <si>
    <t xml:space="preserve">% 50-100m</t>
  </si>
  <si>
    <t xml:space="preserve">% 100-150m</t>
  </si>
  <si>
    <t xml:space="preserve">% 150-200m</t>
  </si>
  <si>
    <t xml:space="preserve">0-50m Target</t>
  </si>
  <si>
    <t xml:space="preserve">50-100m Target</t>
  </si>
  <si>
    <t xml:space="preserve">100-150m Target</t>
  </si>
  <si>
    <t xml:space="preserve">150-200m Target</t>
  </si>
  <si>
    <t xml:space="preserve">0-100m Target</t>
  </si>
  <si>
    <t xml:space="preserve">100-200m Target</t>
  </si>
  <si>
    <t xml:space="preserve">Differential</t>
  </si>
  <si>
    <t xml:space="preserve">World Record</t>
  </si>
  <si>
    <t xml:space="preserve">Male</t>
  </si>
  <si>
    <t xml:space="preserve">World Class (19.3-19.7)</t>
  </si>
  <si>
    <t xml:space="preserve">Elite (19.7-20.2)</t>
  </si>
  <si>
    <t xml:space="preserve">Sub-Elite (20.2-21.0)</t>
  </si>
  <si>
    <t xml:space="preserve">Collegiate (20.8-22.0)</t>
  </si>
  <si>
    <t xml:space="preserve">HS Varsity (22.0-24.0)</t>
  </si>
  <si>
    <t xml:space="preserve">HS JV (24.0-28.0)</t>
  </si>
  <si>
    <t xml:space="preserve">Female</t>
  </si>
  <si>
    <t xml:space="preserve">World Class (21.4-21.8)</t>
  </si>
  <si>
    <t xml:space="preserve">Elite (21.8-22.5)</t>
  </si>
  <si>
    <t xml:space="preserve">Sub-Elite (22.5-24.0)</t>
  </si>
  <si>
    <t xml:space="preserve">Collegiate (23.5-25.5)</t>
  </si>
  <si>
    <t xml:space="preserve">HS Varsity (25.5-28.0)</t>
  </si>
  <si>
    <t xml:space="preserve">HS JV (28.0-34.0)</t>
  </si>
  <si>
    <t xml:space="preserve">200m PACE CALCULATOR</t>
  </si>
  <si>
    <t xml:space="preserve">Enter Target Time (seconds):</t>
  </si>
  <si>
    <t xml:space="preserve">Gender (M or F):</t>
  </si>
  <si>
    <t xml:space="preserve">M</t>
  </si>
  <si>
    <t xml:space="preserve">RECOMMENDED SPLITS</t>
  </si>
  <si>
    <t xml:space="preserve">Segment</t>
  </si>
  <si>
    <t xml:space="preserve">Split Time (s)</t>
  </si>
  <si>
    <t xml:space="preserve">Cumulative (s)</t>
  </si>
  <si>
    <t xml:space="preserve">Velocity (m/s)</t>
  </si>
  <si>
    <t xml:space="preserve">% of Total</t>
  </si>
  <si>
    <t xml:space="preserve">0-50m (curve)</t>
  </si>
  <si>
    <t xml:space="preserve">50-100m</t>
  </si>
  <si>
    <t xml:space="preserve">100-150m</t>
  </si>
  <si>
    <t xml:space="preserve">150-200m</t>
  </si>
  <si>
    <t xml:space="preserve">TOTAL</t>
  </si>
  <si>
    <t xml:space="preserve">0-100m</t>
  </si>
  <si>
    <t xml:space="preserve">100-200m</t>
  </si>
  <si>
    <t xml:space="preserve">DATA SOURCES &amp; METHODOLOGY</t>
  </si>
  <si>
    <t xml:space="preserve">Primary Source</t>
  </si>
  <si>
    <t xml:space="preserve">Athletes First (athletefirst.org)</t>
  </si>
  <si>
    <t xml:space="preserve">200m split database with 50m segment data from major championships</t>
  </si>
  <si>
    <t xml:space="preserve">Graubner &amp; Nixdorf (2011)</t>
  </si>
  <si>
    <t xml:space="preserve">Biomechanical analysis at 2009 IAAF World Championships, NSA 26:19-53</t>
  </si>
  <si>
    <t xml:space="preserve">Brüggemann et al. (1990)</t>
  </si>
  <si>
    <t xml:space="preserve">Seoul 1988 Olympic Games biomechanical research</t>
  </si>
  <si>
    <t xml:space="preserve">Timing Sources</t>
  </si>
  <si>
    <t xml:space="preserve">Omega Timing</t>
  </si>
  <si>
    <t xml:space="preserve">Diamond League &amp; Olympic race analysis</t>
  </si>
  <si>
    <t xml:space="preserve">Official Olympic results</t>
  </si>
  <si>
    <t xml:space="preserve">Academic</t>
  </si>
  <si>
    <t xml:space="preserve">Ferro et al. (2001)</t>
  </si>
  <si>
    <t xml:space="preserve">Biomechanical analysis Seville 1999 World Championships</t>
  </si>
  <si>
    <t xml:space="preserve">NOTES ON 200m PACING</t>
  </si>
  <si>
    <t xml:space="preserve">200m is run on a curve (0-100m) then straight (100-200m)</t>
  </si>
  <si>
    <t xml:space="preserve">0-50m is on the curve with block start, always the slowest segment</t>
  </si>
  <si>
    <t xml:space="preserve">50-100m is typically the fastest segment (end of curve, peak velocity)</t>
  </si>
  <si>
    <t xml:space="preserve">100-150m athletes are at or near max velocity on the straight</t>
  </si>
  <si>
    <t xml:space="preserve">150-200m is where deceleration occurs, speed endurance is critical</t>
  </si>
  <si>
    <t xml:space="preserve">The 1st 100m vs 2nd 100m differential indicates pacing quality</t>
  </si>
  <si>
    <t xml:space="preserve">Elite males: ~0.6-0.8s differential; Elite females: ~0.8-1.2s</t>
  </si>
  <si>
    <t xml:space="preserve">Speed reserve = 100m PB minus 1st-100m in 200m; larger = more acceleration reserve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</si>
</sst>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6"/>
    <col collapsed="false" customWidth="true" hidden="false" outlineLevel="0" max="16" min="11" style="0" width="10"/>
    <col collapsed="false" customWidth="true" hidden="false" outlineLevel="0" max="17" min="17" style="0" width="12"/>
    <col collapsed="false" customWidth="true" hidden="false" outlineLevel="0" max="21" min="18" style="0" width="9"/>
    <col collapsed="false" customWidth="true" hidden="false" outlineLevel="0" max="22" min="22" style="0" width="10"/>
    <col collapsed="false" customWidth="true" hidden="false" outlineLevel="0" max="23" min="23" style="0" width="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3" t="n">
        <v>1986</v>
      </c>
      <c r="D2" s="3" t="s">
        <v>25</v>
      </c>
      <c r="E2" s="3" t="s">
        <v>26</v>
      </c>
      <c r="F2" s="3" t="s">
        <v>27</v>
      </c>
      <c r="G2" s="4" t="n">
        <v>19.19</v>
      </c>
      <c r="H2" s="3" t="n">
        <v>-0.3</v>
      </c>
      <c r="I2" s="3" t="n">
        <v>5</v>
      </c>
      <c r="J2" s="3" t="n">
        <v>1</v>
      </c>
      <c r="K2" s="4" t="n">
        <v>5.6</v>
      </c>
      <c r="L2" s="4" t="n">
        <v>4.32</v>
      </c>
      <c r="M2" s="4" t="n">
        <v>4.52</v>
      </c>
      <c r="N2" s="4" t="n">
        <v>4.75</v>
      </c>
      <c r="O2" s="4" t="n">
        <f aca="false">K2+L2</f>
        <v>9.92</v>
      </c>
      <c r="P2" s="4" t="n">
        <f aca="false">M2+N2</f>
        <v>9.27</v>
      </c>
      <c r="Q2" s="4" t="n">
        <f aca="false">P2-O2</f>
        <v>-0.65</v>
      </c>
      <c r="R2" s="4" t="n">
        <f aca="false">K2/G2*100</f>
        <v>29.1818655549765</v>
      </c>
      <c r="S2" s="4" t="n">
        <f aca="false">L2/G2*100</f>
        <v>22.5117248566962</v>
      </c>
      <c r="T2" s="4" t="n">
        <f aca="false">M2/G2*100</f>
        <v>23.5539343408025</v>
      </c>
      <c r="U2" s="4" t="n">
        <f aca="false">N2/G2*100</f>
        <v>24.7524752475248</v>
      </c>
      <c r="V2" s="3" t="s">
        <v>28</v>
      </c>
      <c r="W2" s="3" t="s">
        <v>29</v>
      </c>
    </row>
    <row r="3" customFormat="false" ht="15" hidden="false" customHeight="false" outlineLevel="0" collapsed="false">
      <c r="A3" s="2" t="s">
        <v>23</v>
      </c>
      <c r="B3" s="2" t="s">
        <v>24</v>
      </c>
      <c r="C3" s="3" t="n">
        <v>1986</v>
      </c>
      <c r="D3" s="3" t="s">
        <v>30</v>
      </c>
      <c r="E3" s="3" t="s">
        <v>31</v>
      </c>
      <c r="F3" s="3" t="s">
        <v>27</v>
      </c>
      <c r="G3" s="4" t="n">
        <v>19.3</v>
      </c>
      <c r="H3" s="3" t="n">
        <v>0.9</v>
      </c>
      <c r="I3" s="3" t="n">
        <v>5</v>
      </c>
      <c r="J3" s="3" t="n">
        <v>1</v>
      </c>
      <c r="K3" s="4" t="n">
        <v>5.63</v>
      </c>
      <c r="L3" s="4" t="n">
        <v>4.35</v>
      </c>
      <c r="M3" s="4" t="n">
        <v>4.54</v>
      </c>
      <c r="N3" s="4" t="n">
        <v>4.78</v>
      </c>
      <c r="O3" s="4" t="n">
        <f aca="false">K3+L3</f>
        <v>9.98</v>
      </c>
      <c r="P3" s="4" t="n">
        <f aca="false">M3+N3</f>
        <v>9.32</v>
      </c>
      <c r="Q3" s="4" t="n">
        <f aca="false">P3-O3</f>
        <v>-0.66</v>
      </c>
      <c r="R3" s="4" t="n">
        <f aca="false">K3/G3*100</f>
        <v>29.1709844559586</v>
      </c>
      <c r="S3" s="4" t="n">
        <f aca="false">L3/G3*100</f>
        <v>22.5388601036269</v>
      </c>
      <c r="T3" s="4" t="n">
        <f aca="false">M3/G3*100</f>
        <v>23.5233160621762</v>
      </c>
      <c r="U3" s="4" t="n">
        <f aca="false">N3/G3*100</f>
        <v>24.7668393782383</v>
      </c>
      <c r="V3" s="3" t="s">
        <v>28</v>
      </c>
      <c r="W3" s="3" t="s">
        <v>32</v>
      </c>
    </row>
    <row r="4" customFormat="false" ht="15" hidden="false" customHeight="false" outlineLevel="0" collapsed="false">
      <c r="A4" s="2" t="s">
        <v>33</v>
      </c>
      <c r="B4" s="2" t="s">
        <v>34</v>
      </c>
      <c r="C4" s="3" t="n">
        <v>1997</v>
      </c>
      <c r="D4" s="3" t="s">
        <v>35</v>
      </c>
      <c r="E4" s="3" t="s">
        <v>36</v>
      </c>
      <c r="F4" s="3" t="s">
        <v>27</v>
      </c>
      <c r="G4" s="4" t="n">
        <v>19.31</v>
      </c>
      <c r="H4" s="3" t="n">
        <v>0.4</v>
      </c>
      <c r="I4" s="3" t="n">
        <v>4</v>
      </c>
      <c r="J4" s="3" t="n">
        <v>1</v>
      </c>
      <c r="K4" s="4" t="n">
        <v>5.71</v>
      </c>
      <c r="L4" s="4" t="n">
        <v>4.34</v>
      </c>
      <c r="M4" s="4" t="n">
        <v>4.5</v>
      </c>
      <c r="N4" s="4" t="n">
        <v>4.76</v>
      </c>
      <c r="O4" s="4" t="n">
        <f aca="false">K4+L4</f>
        <v>10.05</v>
      </c>
      <c r="P4" s="4" t="n">
        <f aca="false">M4+N4</f>
        <v>9.26</v>
      </c>
      <c r="Q4" s="4" t="n">
        <f aca="false">P4-O4</f>
        <v>-0.790000000000001</v>
      </c>
      <c r="R4" s="4" t="n">
        <f aca="false">K4/G4*100</f>
        <v>29.5701708959089</v>
      </c>
      <c r="S4" s="4" t="n">
        <f aca="false">L4/G4*100</f>
        <v>22.4754013464526</v>
      </c>
      <c r="T4" s="4" t="n">
        <f aca="false">M4/G4*100</f>
        <v>23.3039875712066</v>
      </c>
      <c r="U4" s="4" t="n">
        <f aca="false">N4/G4*100</f>
        <v>24.6504401864319</v>
      </c>
      <c r="V4" s="3" t="s">
        <v>37</v>
      </c>
      <c r="W4" s="3" t="s">
        <v>38</v>
      </c>
    </row>
    <row r="5" customFormat="false" ht="15" hidden="false" customHeight="false" outlineLevel="0" collapsed="false">
      <c r="A5" s="2" t="s">
        <v>39</v>
      </c>
      <c r="B5" s="2" t="s">
        <v>34</v>
      </c>
      <c r="C5" s="3" t="n">
        <v>1967</v>
      </c>
      <c r="D5" s="3" t="s">
        <v>40</v>
      </c>
      <c r="E5" s="3" t="s">
        <v>41</v>
      </c>
      <c r="F5" s="3" t="s">
        <v>27</v>
      </c>
      <c r="G5" s="4" t="n">
        <v>19.32</v>
      </c>
      <c r="H5" s="3" t="n">
        <v>-0.4</v>
      </c>
      <c r="I5" s="3" t="n">
        <v>3</v>
      </c>
      <c r="J5" s="3" t="n">
        <v>1</v>
      </c>
      <c r="K5" s="4" t="n">
        <v>5.62</v>
      </c>
      <c r="L5" s="4" t="n">
        <v>4.5</v>
      </c>
      <c r="M5" s="4" t="n">
        <v>4.43</v>
      </c>
      <c r="N5" s="4" t="n">
        <v>4.77</v>
      </c>
      <c r="O5" s="4" t="n">
        <f aca="false">K5+L5</f>
        <v>10.12</v>
      </c>
      <c r="P5" s="4" t="n">
        <f aca="false">M5+N5</f>
        <v>9.2</v>
      </c>
      <c r="Q5" s="4" t="n">
        <f aca="false">P5-O5</f>
        <v>-0.920000000000002</v>
      </c>
      <c r="R5" s="4" t="n">
        <f aca="false">K5/G5*100</f>
        <v>29.0890269151139</v>
      </c>
      <c r="S5" s="4" t="n">
        <f aca="false">L5/G5*100</f>
        <v>23.2919254658385</v>
      </c>
      <c r="T5" s="4" t="n">
        <f aca="false">M5/G5*100</f>
        <v>22.9296066252588</v>
      </c>
      <c r="U5" s="4" t="n">
        <f aca="false">N5/G5*100</f>
        <v>24.6894409937888</v>
      </c>
      <c r="V5" s="3" t="s">
        <v>28</v>
      </c>
      <c r="W5" s="3" t="s">
        <v>42</v>
      </c>
    </row>
    <row r="6" customFormat="false" ht="15" hidden="false" customHeight="false" outlineLevel="0" collapsed="false">
      <c r="A6" s="2" t="s">
        <v>43</v>
      </c>
      <c r="B6" s="2" t="s">
        <v>24</v>
      </c>
      <c r="C6" s="3" t="n">
        <v>1989</v>
      </c>
      <c r="D6" s="3" t="s">
        <v>44</v>
      </c>
      <c r="E6" s="3" t="s">
        <v>45</v>
      </c>
      <c r="F6" s="3" t="s">
        <v>27</v>
      </c>
      <c r="G6" s="4" t="n">
        <v>19.26</v>
      </c>
      <c r="H6" s="3" t="n">
        <v>0.7</v>
      </c>
      <c r="I6" s="3"/>
      <c r="J6" s="3" t="n">
        <v>1</v>
      </c>
      <c r="K6" s="4" t="n">
        <v>5.55</v>
      </c>
      <c r="L6" s="4" t="n">
        <v>4.36</v>
      </c>
      <c r="M6" s="4" t="n">
        <v>4.5</v>
      </c>
      <c r="N6" s="4" t="n">
        <v>4.85</v>
      </c>
      <c r="O6" s="4" t="n">
        <f aca="false">K6+L6</f>
        <v>9.91</v>
      </c>
      <c r="P6" s="4" t="n">
        <f aca="false">M6+N6</f>
        <v>9.35</v>
      </c>
      <c r="Q6" s="4" t="n">
        <f aca="false">P6-O6</f>
        <v>-0.560000000000001</v>
      </c>
      <c r="R6" s="4" t="n">
        <f aca="false">K6/G6*100</f>
        <v>28.816199376947</v>
      </c>
      <c r="S6" s="4" t="n">
        <f aca="false">L6/G6*100</f>
        <v>22.6375908618899</v>
      </c>
      <c r="T6" s="4" t="n">
        <f aca="false">M6/G6*100</f>
        <v>23.3644859813084</v>
      </c>
      <c r="U6" s="4" t="n">
        <f aca="false">N6/G6*100</f>
        <v>25.1817237798546</v>
      </c>
      <c r="V6" s="3" t="s">
        <v>37</v>
      </c>
      <c r="W6" s="3" t="s">
        <v>46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n">
        <v>1986</v>
      </c>
      <c r="D7" s="3" t="s">
        <v>47</v>
      </c>
      <c r="E7" s="3" t="s">
        <v>48</v>
      </c>
      <c r="F7" s="3" t="s">
        <v>27</v>
      </c>
      <c r="G7" s="4" t="n">
        <v>19.4</v>
      </c>
      <c r="H7" s="3" t="n">
        <v>0.8</v>
      </c>
      <c r="I7" s="3" t="n">
        <v>3</v>
      </c>
      <c r="J7" s="3" t="n">
        <v>1</v>
      </c>
      <c r="K7" s="4" t="n">
        <v>5.53</v>
      </c>
      <c r="L7" s="4" t="n">
        <v>4.44</v>
      </c>
      <c r="M7" s="4" t="n">
        <v>4.57</v>
      </c>
      <c r="N7" s="4" t="n">
        <v>4.86</v>
      </c>
      <c r="O7" s="4" t="n">
        <f aca="false">K7+L7</f>
        <v>9.97</v>
      </c>
      <c r="P7" s="4" t="n">
        <f aca="false">M7+N7</f>
        <v>9.43</v>
      </c>
      <c r="Q7" s="4" t="n">
        <f aca="false">P7-O7</f>
        <v>-0.540000000000001</v>
      </c>
      <c r="R7" s="4" t="n">
        <f aca="false">K7/G7*100</f>
        <v>28.5051546391753</v>
      </c>
      <c r="S7" s="4" t="n">
        <f aca="false">L7/G7*100</f>
        <v>22.8865979381443</v>
      </c>
      <c r="T7" s="4" t="n">
        <f aca="false">M7/G7*100</f>
        <v>23.5567010309278</v>
      </c>
      <c r="U7" s="4" t="n">
        <f aca="false">N7/G7*100</f>
        <v>25.0515463917526</v>
      </c>
      <c r="V7" s="3" t="s">
        <v>49</v>
      </c>
      <c r="W7" s="3" t="s">
        <v>50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n">
        <v>1986</v>
      </c>
      <c r="D8" s="3" t="s">
        <v>51</v>
      </c>
      <c r="E8" s="3" t="s">
        <v>52</v>
      </c>
      <c r="F8" s="3" t="s">
        <v>27</v>
      </c>
      <c r="G8" s="4" t="n">
        <v>19.32</v>
      </c>
      <c r="H8" s="3" t="n">
        <v>0.4</v>
      </c>
      <c r="I8" s="3" t="n">
        <v>7</v>
      </c>
      <c r="J8" s="3" t="n">
        <v>1</v>
      </c>
      <c r="K8" s="4" t="n">
        <v>5.64</v>
      </c>
      <c r="L8" s="4" t="n">
        <v>4.37</v>
      </c>
      <c r="M8" s="4" t="n">
        <v>4.52</v>
      </c>
      <c r="N8" s="4" t="n">
        <v>4.79</v>
      </c>
      <c r="O8" s="4" t="n">
        <f aca="false">K8+L8</f>
        <v>10.01</v>
      </c>
      <c r="P8" s="4" t="n">
        <f aca="false">M8+N8</f>
        <v>9.31</v>
      </c>
      <c r="Q8" s="4" t="n">
        <f aca="false">P8-O8</f>
        <v>-0.700000000000001</v>
      </c>
      <c r="R8" s="4" t="n">
        <f aca="false">K8/G8*100</f>
        <v>29.1925465838509</v>
      </c>
      <c r="S8" s="4" t="n">
        <f aca="false">L8/G8*100</f>
        <v>22.6190476190476</v>
      </c>
      <c r="T8" s="4" t="n">
        <f aca="false">M8/G8*100</f>
        <v>23.3954451345756</v>
      </c>
      <c r="U8" s="4" t="n">
        <f aca="false">N8/G8*100</f>
        <v>24.7929606625259</v>
      </c>
      <c r="V8" s="3" t="s">
        <v>53</v>
      </c>
      <c r="W8" s="3" t="s">
        <v>54</v>
      </c>
    </row>
    <row r="9" customFormat="false" ht="15" hidden="false" customHeight="false" outlineLevel="0" collapsed="false">
      <c r="A9" s="2" t="s">
        <v>33</v>
      </c>
      <c r="B9" s="2" t="s">
        <v>34</v>
      </c>
      <c r="C9" s="3" t="n">
        <v>1997</v>
      </c>
      <c r="D9" s="3" t="s">
        <v>55</v>
      </c>
      <c r="E9" s="3" t="s">
        <v>56</v>
      </c>
      <c r="F9" s="3" t="s">
        <v>27</v>
      </c>
      <c r="G9" s="4" t="n">
        <v>19.7</v>
      </c>
      <c r="H9" s="3" t="n">
        <v>-0.1</v>
      </c>
      <c r="I9" s="3" t="n">
        <v>4</v>
      </c>
      <c r="J9" s="3" t="n">
        <v>3</v>
      </c>
      <c r="K9" s="4" t="n">
        <v>5.8</v>
      </c>
      <c r="L9" s="4" t="n">
        <v>4.38</v>
      </c>
      <c r="M9" s="4" t="n">
        <v>4.55</v>
      </c>
      <c r="N9" s="4" t="n">
        <v>4.97</v>
      </c>
      <c r="O9" s="4" t="n">
        <f aca="false">K9+L9</f>
        <v>10.18</v>
      </c>
      <c r="P9" s="4" t="n">
        <f aca="false">M9+N9</f>
        <v>9.52</v>
      </c>
      <c r="Q9" s="4" t="n">
        <f aca="false">P9-O9</f>
        <v>-0.66</v>
      </c>
      <c r="R9" s="4" t="n">
        <f aca="false">K9/G9*100</f>
        <v>29.4416243654822</v>
      </c>
      <c r="S9" s="4" t="n">
        <f aca="false">L9/G9*100</f>
        <v>22.2335025380711</v>
      </c>
      <c r="T9" s="4" t="n">
        <f aca="false">M9/G9*100</f>
        <v>23.0964467005076</v>
      </c>
      <c r="U9" s="4" t="n">
        <f aca="false">N9/G9*100</f>
        <v>25.2284263959391</v>
      </c>
      <c r="V9" s="3" t="s">
        <v>57</v>
      </c>
      <c r="W9" s="3" t="s">
        <v>58</v>
      </c>
    </row>
    <row r="10" customFormat="false" ht="15" hidden="false" customHeight="false" outlineLevel="0" collapsed="false">
      <c r="A10" s="2" t="s">
        <v>59</v>
      </c>
      <c r="B10" s="2" t="s">
        <v>60</v>
      </c>
      <c r="C10" s="3" t="n">
        <v>2003</v>
      </c>
      <c r="D10" s="3" t="s">
        <v>55</v>
      </c>
      <c r="E10" s="3" t="s">
        <v>56</v>
      </c>
      <c r="F10" s="3" t="s">
        <v>27</v>
      </c>
      <c r="G10" s="4" t="n">
        <v>19.46</v>
      </c>
      <c r="H10" s="3" t="n">
        <v>-0.1</v>
      </c>
      <c r="I10" s="3" t="n">
        <v>6</v>
      </c>
      <c r="J10" s="3" t="n">
        <v>1</v>
      </c>
      <c r="K10" s="4" t="n">
        <v>5.73</v>
      </c>
      <c r="L10" s="4" t="n">
        <v>4.38</v>
      </c>
      <c r="M10" s="4" t="n">
        <v>4.52</v>
      </c>
      <c r="N10" s="4" t="n">
        <v>4.83</v>
      </c>
      <c r="O10" s="4" t="n">
        <f aca="false">K10+L10</f>
        <v>10.11</v>
      </c>
      <c r="P10" s="4" t="n">
        <f aca="false">M10+N10</f>
        <v>9.35</v>
      </c>
      <c r="Q10" s="4" t="n">
        <f aca="false">P10-O10</f>
        <v>-0.76</v>
      </c>
      <c r="R10" s="4" t="n">
        <f aca="false">K10/G10*100</f>
        <v>29.4450154162384</v>
      </c>
      <c r="S10" s="4" t="n">
        <f aca="false">L10/G10*100</f>
        <v>22.5077081192189</v>
      </c>
      <c r="T10" s="4" t="n">
        <f aca="false">M10/G10*100</f>
        <v>23.2271325796506</v>
      </c>
      <c r="U10" s="4" t="n">
        <f aca="false">N10/G10*100</f>
        <v>24.8201438848921</v>
      </c>
      <c r="V10" s="3" t="s">
        <v>61</v>
      </c>
      <c r="W10" s="3" t="s">
        <v>58</v>
      </c>
    </row>
    <row r="11" customFormat="false" ht="15" hidden="false" customHeight="false" outlineLevel="0" collapsed="false">
      <c r="A11" s="2" t="s">
        <v>62</v>
      </c>
      <c r="B11" s="2" t="s">
        <v>63</v>
      </c>
      <c r="C11" s="3" t="n">
        <v>1967</v>
      </c>
      <c r="D11" s="3" t="s">
        <v>40</v>
      </c>
      <c r="E11" s="3" t="s">
        <v>41</v>
      </c>
      <c r="F11" s="3" t="s">
        <v>27</v>
      </c>
      <c r="G11" s="4" t="n">
        <v>19.68</v>
      </c>
      <c r="H11" s="3" t="n">
        <v>-0.4</v>
      </c>
      <c r="I11" s="3" t="n">
        <v>4</v>
      </c>
      <c r="J11" s="3" t="n">
        <v>2</v>
      </c>
      <c r="K11" s="4" t="n">
        <v>5.73</v>
      </c>
      <c r="L11" s="4" t="n">
        <v>4.53</v>
      </c>
      <c r="M11" s="4" t="n">
        <v>4.47</v>
      </c>
      <c r="N11" s="4" t="n">
        <v>4.95</v>
      </c>
      <c r="O11" s="4" t="n">
        <f aca="false">K11+L11</f>
        <v>10.26</v>
      </c>
      <c r="P11" s="4" t="n">
        <f aca="false">M11+N11</f>
        <v>9.42</v>
      </c>
      <c r="Q11" s="4" t="n">
        <f aca="false">P11-O11</f>
        <v>-0.840000000000002</v>
      </c>
      <c r="R11" s="4" t="n">
        <f aca="false">K11/G11*100</f>
        <v>29.1158536585366</v>
      </c>
      <c r="S11" s="4" t="n">
        <f aca="false">L11/G11*100</f>
        <v>23.0182926829268</v>
      </c>
      <c r="T11" s="4" t="n">
        <f aca="false">M11/G11*100</f>
        <v>22.7134146341463</v>
      </c>
      <c r="U11" s="4" t="n">
        <f aca="false">N11/G11*100</f>
        <v>25.1524390243902</v>
      </c>
      <c r="V11" s="3" t="s">
        <v>64</v>
      </c>
      <c r="W11" s="3" t="s">
        <v>42</v>
      </c>
    </row>
    <row r="12" customFormat="false" ht="15" hidden="false" customHeight="false" outlineLevel="0" collapsed="false">
      <c r="A12" s="2" t="s">
        <v>39</v>
      </c>
      <c r="B12" s="2" t="s">
        <v>34</v>
      </c>
      <c r="C12" s="3" t="n">
        <v>1967</v>
      </c>
      <c r="D12" s="3" t="s">
        <v>65</v>
      </c>
      <c r="E12" s="3" t="s">
        <v>66</v>
      </c>
      <c r="F12" s="3" t="s">
        <v>27</v>
      </c>
      <c r="G12" s="4" t="n">
        <v>19.93</v>
      </c>
      <c r="H12" s="3" t="n">
        <v>-0.2</v>
      </c>
      <c r="I12" s="3" t="n">
        <v>5</v>
      </c>
      <c r="J12" s="3" t="n">
        <v>1</v>
      </c>
      <c r="K12" s="4" t="n">
        <v>5.82</v>
      </c>
      <c r="L12" s="4" t="n">
        <v>4.56</v>
      </c>
      <c r="M12" s="4" t="n">
        <v>4.6</v>
      </c>
      <c r="N12" s="4" t="n">
        <v>4.95</v>
      </c>
      <c r="O12" s="4" t="n">
        <f aca="false">K12+L12</f>
        <v>10.38</v>
      </c>
      <c r="P12" s="4" t="n">
        <f aca="false">M12+N12</f>
        <v>9.55</v>
      </c>
      <c r="Q12" s="4" t="n">
        <f aca="false">P12-O12</f>
        <v>-0.829999999999998</v>
      </c>
      <c r="R12" s="4" t="n">
        <f aca="false">K12/G12*100</f>
        <v>29.2022077270447</v>
      </c>
      <c r="S12" s="4" t="n">
        <f aca="false">L12/G12*100</f>
        <v>22.8800802809834</v>
      </c>
      <c r="T12" s="4" t="n">
        <f aca="false">M12/G12*100</f>
        <v>23.0807827395886</v>
      </c>
      <c r="U12" s="4" t="n">
        <f aca="false">N12/G12*100</f>
        <v>24.8369292523833</v>
      </c>
      <c r="V12" s="3" t="s">
        <v>49</v>
      </c>
      <c r="W12" s="3" t="s">
        <v>67</v>
      </c>
    </row>
    <row r="13" customFormat="false" ht="15" hidden="false" customHeight="false" outlineLevel="0" collapsed="false">
      <c r="A13" s="2" t="s">
        <v>68</v>
      </c>
      <c r="B13" s="2" t="s">
        <v>34</v>
      </c>
      <c r="C13" s="3" t="n">
        <v>1984</v>
      </c>
      <c r="D13" s="3" t="s">
        <v>69</v>
      </c>
      <c r="E13" s="3" t="s">
        <v>70</v>
      </c>
      <c r="F13" s="3" t="s">
        <v>27</v>
      </c>
      <c r="G13" s="4" t="n">
        <v>19.65</v>
      </c>
      <c r="H13" s="3" t="n">
        <v>1.2</v>
      </c>
      <c r="I13" s="3"/>
      <c r="J13" s="3" t="n">
        <v>1</v>
      </c>
      <c r="K13" s="4" t="n">
        <v>5.64</v>
      </c>
      <c r="L13" s="4" t="n">
        <v>4.51</v>
      </c>
      <c r="M13" s="4" t="n">
        <v>4.56</v>
      </c>
      <c r="N13" s="4" t="n">
        <v>4.94</v>
      </c>
      <c r="O13" s="4" t="n">
        <f aca="false">K13+L13</f>
        <v>10.15</v>
      </c>
      <c r="P13" s="4" t="n">
        <f aca="false">M13+N13</f>
        <v>9.5</v>
      </c>
      <c r="Q13" s="4" t="n">
        <f aca="false">P13-O13</f>
        <v>-0.649999999999999</v>
      </c>
      <c r="R13" s="4" t="n">
        <f aca="false">K13/G13*100</f>
        <v>28.7022900763359</v>
      </c>
      <c r="S13" s="4" t="n">
        <f aca="false">L13/G13*100</f>
        <v>22.9516539440204</v>
      </c>
      <c r="T13" s="4" t="n">
        <f aca="false">M13/G13*100</f>
        <v>23.206106870229</v>
      </c>
      <c r="U13" s="4" t="n">
        <f aca="false">N13/G13*100</f>
        <v>25.1399491094148</v>
      </c>
      <c r="V13" s="3" t="s">
        <v>37</v>
      </c>
      <c r="W13" s="3" t="s">
        <v>71</v>
      </c>
    </row>
    <row r="14" customFormat="false" ht="15" hidden="false" customHeight="false" outlineLevel="0" collapsed="false">
      <c r="A14" s="2" t="s">
        <v>72</v>
      </c>
      <c r="B14" s="2" t="s">
        <v>34</v>
      </c>
      <c r="C14" s="3" t="n">
        <v>1967</v>
      </c>
      <c r="D14" s="3" t="s">
        <v>73</v>
      </c>
      <c r="E14" s="3" t="s">
        <v>74</v>
      </c>
      <c r="F14" s="3" t="s">
        <v>27</v>
      </c>
      <c r="G14" s="4" t="n">
        <v>19.75</v>
      </c>
      <c r="H14" s="3" t="n">
        <v>1.1</v>
      </c>
      <c r="I14" s="3" t="n">
        <v>3</v>
      </c>
      <c r="J14" s="3" t="n">
        <v>1</v>
      </c>
      <c r="K14" s="4" t="n">
        <v>5.68</v>
      </c>
      <c r="L14" s="4" t="n">
        <v>4.54</v>
      </c>
      <c r="M14" s="4" t="n">
        <v>4.6</v>
      </c>
      <c r="N14" s="4" t="n">
        <v>4.93</v>
      </c>
      <c r="O14" s="4" t="n">
        <f aca="false">K14+L14</f>
        <v>10.22</v>
      </c>
      <c r="P14" s="4" t="n">
        <f aca="false">M14+N14</f>
        <v>9.53</v>
      </c>
      <c r="Q14" s="4" t="n">
        <f aca="false">P14-O14</f>
        <v>-0.69</v>
      </c>
      <c r="R14" s="4" t="n">
        <f aca="false">K14/G14*100</f>
        <v>28.7594936708861</v>
      </c>
      <c r="S14" s="4" t="n">
        <f aca="false">L14/G14*100</f>
        <v>22.9873417721519</v>
      </c>
      <c r="T14" s="4" t="n">
        <f aca="false">M14/G14*100</f>
        <v>23.2911392405063</v>
      </c>
      <c r="U14" s="4" t="n">
        <f aca="false">N14/G14*100</f>
        <v>24.9620253164557</v>
      </c>
      <c r="V14" s="3" t="s">
        <v>53</v>
      </c>
      <c r="W14" s="3" t="s">
        <v>75</v>
      </c>
    </row>
    <row r="15" customFormat="false" ht="15" hidden="false" customHeight="false" outlineLevel="0" collapsed="false">
      <c r="A15" s="2" t="s">
        <v>76</v>
      </c>
      <c r="B15" s="2" t="s">
        <v>34</v>
      </c>
      <c r="C15" s="3" t="n">
        <v>1961</v>
      </c>
      <c r="D15" s="3" t="s">
        <v>73</v>
      </c>
      <c r="E15" s="3" t="s">
        <v>74</v>
      </c>
      <c r="F15" s="3" t="s">
        <v>27</v>
      </c>
      <c r="G15" s="4" t="n">
        <v>19.79</v>
      </c>
      <c r="H15" s="3" t="n">
        <v>1.1</v>
      </c>
      <c r="I15" s="3" t="n">
        <v>6</v>
      </c>
      <c r="J15" s="3" t="n">
        <v>2</v>
      </c>
      <c r="K15" s="4" t="n">
        <v>5.67</v>
      </c>
      <c r="L15" s="4" t="n">
        <v>4.55</v>
      </c>
      <c r="M15" s="4" t="n">
        <v>4.65</v>
      </c>
      <c r="N15" s="4" t="n">
        <v>4.92</v>
      </c>
      <c r="O15" s="4" t="n">
        <f aca="false">K15+L15</f>
        <v>10.22</v>
      </c>
      <c r="P15" s="4" t="n">
        <f aca="false">M15+N15</f>
        <v>9.57</v>
      </c>
      <c r="Q15" s="4" t="n">
        <f aca="false">P15-O15</f>
        <v>-0.649999999999999</v>
      </c>
      <c r="R15" s="4" t="n">
        <f aca="false">K15/G15*100</f>
        <v>28.6508337544214</v>
      </c>
      <c r="S15" s="4" t="n">
        <f aca="false">L15/G15*100</f>
        <v>22.9914098029308</v>
      </c>
      <c r="T15" s="4" t="n">
        <f aca="false">M15/G15*100</f>
        <v>23.4967155128853</v>
      </c>
      <c r="U15" s="4" t="n">
        <f aca="false">N15/G15*100</f>
        <v>24.8610409297625</v>
      </c>
      <c r="V15" s="3" t="s">
        <v>37</v>
      </c>
      <c r="W15" s="3" t="s">
        <v>75</v>
      </c>
    </row>
    <row r="16" customFormat="false" ht="15" hidden="false" customHeight="false" outlineLevel="0" collapsed="false">
      <c r="A16" s="2" t="s">
        <v>77</v>
      </c>
      <c r="B16" s="2" t="s">
        <v>34</v>
      </c>
      <c r="C16" s="3" t="n">
        <v>2004</v>
      </c>
      <c r="D16" s="3" t="s">
        <v>35</v>
      </c>
      <c r="E16" s="3" t="s">
        <v>36</v>
      </c>
      <c r="F16" s="3" t="s">
        <v>27</v>
      </c>
      <c r="G16" s="4" t="n">
        <v>19.8</v>
      </c>
      <c r="H16" s="3" t="n">
        <v>0.4</v>
      </c>
      <c r="I16" s="3" t="n">
        <v>7</v>
      </c>
      <c r="J16" s="3" t="n">
        <v>4</v>
      </c>
      <c r="K16" s="4" t="n">
        <v>5.83</v>
      </c>
      <c r="L16" s="4" t="n">
        <v>4.42</v>
      </c>
      <c r="M16" s="4" t="n">
        <v>4.57</v>
      </c>
      <c r="N16" s="4" t="n">
        <v>4.98</v>
      </c>
      <c r="O16" s="4" t="n">
        <f aca="false">K16+L16</f>
        <v>10.25</v>
      </c>
      <c r="P16" s="4" t="n">
        <f aca="false">M16+N16</f>
        <v>9.55</v>
      </c>
      <c r="Q16" s="4" t="n">
        <f aca="false">P16-O16</f>
        <v>-0.699999999999999</v>
      </c>
      <c r="R16" s="4" t="n">
        <f aca="false">K16/G16*100</f>
        <v>29.4444444444444</v>
      </c>
      <c r="S16" s="4" t="n">
        <f aca="false">L16/G16*100</f>
        <v>22.3232323232323</v>
      </c>
      <c r="T16" s="4" t="n">
        <f aca="false">M16/G16*100</f>
        <v>23.0808080808081</v>
      </c>
      <c r="U16" s="4" t="n">
        <f aca="false">N16/G16*100</f>
        <v>25.1515151515152</v>
      </c>
      <c r="V16" s="3" t="s">
        <v>37</v>
      </c>
      <c r="W16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6"/>
    <col collapsed="false" customWidth="true" hidden="false" outlineLevel="0" max="16" min="11" style="0" width="10"/>
    <col collapsed="false" customWidth="true" hidden="false" outlineLevel="0" max="17" min="17" style="0" width="12"/>
    <col collapsed="false" customWidth="true" hidden="false" outlineLevel="0" max="21" min="18" style="0" width="9"/>
    <col collapsed="false" customWidth="true" hidden="false" outlineLevel="0" max="22" min="22" style="0" width="10"/>
    <col collapsed="false" customWidth="true" hidden="false" outlineLevel="0" max="23" min="23" style="0" width="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78</v>
      </c>
      <c r="B2" s="2" t="s">
        <v>34</v>
      </c>
      <c r="C2" s="3" t="n">
        <v>1959</v>
      </c>
      <c r="D2" s="3" t="s">
        <v>79</v>
      </c>
      <c r="E2" s="3" t="s">
        <v>74</v>
      </c>
      <c r="F2" s="3" t="s">
        <v>27</v>
      </c>
      <c r="G2" s="3" t="n">
        <v>21.34</v>
      </c>
      <c r="H2" s="3" t="n">
        <v>1.3</v>
      </c>
      <c r="I2" s="3" t="n">
        <v>3</v>
      </c>
      <c r="J2" s="3" t="n">
        <v>1</v>
      </c>
      <c r="K2" s="4" t="n">
        <v>6.2</v>
      </c>
      <c r="L2" s="4" t="n">
        <v>4.75</v>
      </c>
      <c r="M2" s="4" t="n">
        <v>4.96</v>
      </c>
      <c r="N2" s="4" t="n">
        <v>5.43</v>
      </c>
      <c r="O2" s="4" t="n">
        <f aca="false">K2+L2</f>
        <v>10.95</v>
      </c>
      <c r="P2" s="4" t="n">
        <f aca="false">M2+N2</f>
        <v>10.39</v>
      </c>
      <c r="Q2" s="4" t="n">
        <f aca="false">P2-O2</f>
        <v>-0.559999999999999</v>
      </c>
      <c r="R2" s="4" t="n">
        <f aca="false">K2/G2*100</f>
        <v>29.0534208059981</v>
      </c>
      <c r="S2" s="4" t="n">
        <f aca="false">L2/G2*100</f>
        <v>22.2586691658857</v>
      </c>
      <c r="T2" s="4" t="n">
        <f aca="false">M2/G2*100</f>
        <v>23.2427366447985</v>
      </c>
      <c r="U2" s="4" t="n">
        <f aca="false">N2/G2*100</f>
        <v>25.4451733833177</v>
      </c>
      <c r="V2" s="3" t="s">
        <v>28</v>
      </c>
      <c r="W2" s="3" t="s">
        <v>75</v>
      </c>
    </row>
    <row r="3" customFormat="false" ht="15" hidden="false" customHeight="false" outlineLevel="0" collapsed="false">
      <c r="A3" s="2" t="s">
        <v>80</v>
      </c>
      <c r="B3" s="2" t="s">
        <v>24</v>
      </c>
      <c r="C3" s="3" t="n">
        <v>1994</v>
      </c>
      <c r="D3" s="3" t="s">
        <v>81</v>
      </c>
      <c r="E3" s="3" t="s">
        <v>36</v>
      </c>
      <c r="F3" s="3" t="s">
        <v>27</v>
      </c>
      <c r="G3" s="3" t="n">
        <v>21.45</v>
      </c>
      <c r="H3" s="3" t="n">
        <v>0.8</v>
      </c>
      <c r="I3" s="3" t="n">
        <v>7</v>
      </c>
      <c r="J3" s="3" t="n">
        <v>1</v>
      </c>
      <c r="K3" s="4" t="n">
        <v>6.26</v>
      </c>
      <c r="L3" s="4" t="n">
        <v>4.81</v>
      </c>
      <c r="M3" s="4" t="n">
        <v>5.02</v>
      </c>
      <c r="N3" s="4" t="n">
        <v>5.36</v>
      </c>
      <c r="O3" s="4" t="n">
        <f aca="false">K3+L3</f>
        <v>11.07</v>
      </c>
      <c r="P3" s="4" t="n">
        <f aca="false">M3+N3</f>
        <v>10.38</v>
      </c>
      <c r="Q3" s="4" t="n">
        <f aca="false">P3-O3</f>
        <v>-0.690000000000001</v>
      </c>
      <c r="R3" s="4" t="n">
        <f aca="false">K3/G3*100</f>
        <v>29.1841491841492</v>
      </c>
      <c r="S3" s="4" t="n">
        <f aca="false">L3/G3*100</f>
        <v>22.4242424242424</v>
      </c>
      <c r="T3" s="4" t="n">
        <f aca="false">M3/G3*100</f>
        <v>23.4032634032634</v>
      </c>
      <c r="U3" s="4" t="n">
        <f aca="false">N3/G3*100</f>
        <v>24.988344988345</v>
      </c>
      <c r="V3" s="3" t="s">
        <v>82</v>
      </c>
      <c r="W3" s="3" t="s">
        <v>38</v>
      </c>
    </row>
    <row r="4" customFormat="false" ht="15" hidden="false" customHeight="false" outlineLevel="0" collapsed="false">
      <c r="A4" s="2" t="s">
        <v>83</v>
      </c>
      <c r="B4" s="2" t="s">
        <v>63</v>
      </c>
      <c r="C4" s="3" t="n">
        <v>2003</v>
      </c>
      <c r="D4" s="3" t="s">
        <v>84</v>
      </c>
      <c r="E4" s="3" t="s">
        <v>85</v>
      </c>
      <c r="F4" s="3" t="s">
        <v>27</v>
      </c>
      <c r="G4" s="3" t="n">
        <v>21.81</v>
      </c>
      <c r="H4" s="3" t="n">
        <v>0.5</v>
      </c>
      <c r="I4" s="3" t="n">
        <v>9</v>
      </c>
      <c r="J4" s="3" t="n">
        <v>2</v>
      </c>
      <c r="K4" s="4" t="n">
        <v>6.38</v>
      </c>
      <c r="L4" s="4" t="n">
        <v>4.89</v>
      </c>
      <c r="M4" s="4" t="n">
        <v>5.08</v>
      </c>
      <c r="N4" s="4" t="n">
        <v>5.46</v>
      </c>
      <c r="O4" s="4" t="n">
        <f aca="false">K4+L4</f>
        <v>11.27</v>
      </c>
      <c r="P4" s="4" t="n">
        <f aca="false">M4+N4</f>
        <v>10.54</v>
      </c>
      <c r="Q4" s="4" t="n">
        <f aca="false">P4-O4</f>
        <v>-0.73</v>
      </c>
      <c r="R4" s="4" t="n">
        <f aca="false">K4/G4*100</f>
        <v>29.2526364053187</v>
      </c>
      <c r="S4" s="4" t="n">
        <f aca="false">L4/G4*100</f>
        <v>22.4209078404402</v>
      </c>
      <c r="T4" s="4" t="n">
        <f aca="false">M4/G4*100</f>
        <v>23.2920678587804</v>
      </c>
      <c r="U4" s="4" t="n">
        <f aca="false">N4/G4*100</f>
        <v>25.0343878954608</v>
      </c>
      <c r="V4" s="3" t="s">
        <v>86</v>
      </c>
      <c r="W4" s="3" t="s">
        <v>87</v>
      </c>
    </row>
    <row r="5" customFormat="false" ht="15" hidden="false" customHeight="false" outlineLevel="0" collapsed="false">
      <c r="A5" s="2" t="s">
        <v>88</v>
      </c>
      <c r="B5" s="2" t="s">
        <v>24</v>
      </c>
      <c r="C5" s="3" t="n">
        <v>1986</v>
      </c>
      <c r="D5" s="3" t="s">
        <v>81</v>
      </c>
      <c r="E5" s="3" t="s">
        <v>36</v>
      </c>
      <c r="F5" s="3" t="s">
        <v>27</v>
      </c>
      <c r="G5" s="3" t="n">
        <v>21.81</v>
      </c>
      <c r="H5" s="3" t="n">
        <v>0.8</v>
      </c>
      <c r="I5" s="3" t="n">
        <v>6</v>
      </c>
      <c r="J5" s="3" t="n">
        <v>3</v>
      </c>
      <c r="K5" s="4" t="n">
        <v>6.35</v>
      </c>
      <c r="L5" s="4" t="n">
        <v>4.92</v>
      </c>
      <c r="M5" s="4" t="n">
        <v>5.11</v>
      </c>
      <c r="N5" s="4" t="n">
        <v>5.43</v>
      </c>
      <c r="O5" s="4" t="n">
        <f aca="false">K5+L5</f>
        <v>11.27</v>
      </c>
      <c r="P5" s="4" t="n">
        <f aca="false">M5+N5</f>
        <v>10.54</v>
      </c>
      <c r="Q5" s="4" t="n">
        <f aca="false">P5-O5</f>
        <v>-0.73</v>
      </c>
      <c r="R5" s="4" t="n">
        <f aca="false">K5/G5*100</f>
        <v>29.1150848234755</v>
      </c>
      <c r="S5" s="4" t="n">
        <f aca="false">L5/G5*100</f>
        <v>22.5584594222834</v>
      </c>
      <c r="T5" s="4" t="n">
        <f aca="false">M5/G5*100</f>
        <v>23.4296194406236</v>
      </c>
      <c r="U5" s="4" t="n">
        <f aca="false">N5/G5*100</f>
        <v>24.8968363136176</v>
      </c>
      <c r="V5" s="3" t="s">
        <v>37</v>
      </c>
      <c r="W5" s="3" t="s">
        <v>38</v>
      </c>
    </row>
    <row r="6" customFormat="false" ht="15" hidden="false" customHeight="false" outlineLevel="0" collapsed="false">
      <c r="A6" s="2" t="s">
        <v>89</v>
      </c>
      <c r="B6" s="2" t="s">
        <v>24</v>
      </c>
      <c r="C6" s="3" t="n">
        <v>1992</v>
      </c>
      <c r="D6" s="3" t="s">
        <v>84</v>
      </c>
      <c r="E6" s="3" t="s">
        <v>85</v>
      </c>
      <c r="F6" s="3" t="s">
        <v>27</v>
      </c>
      <c r="G6" s="3" t="n">
        <v>21.53</v>
      </c>
      <c r="H6" s="3" t="n">
        <v>-0.8</v>
      </c>
      <c r="I6" s="3" t="n">
        <v>4</v>
      </c>
      <c r="J6" s="3" t="n">
        <v>1</v>
      </c>
      <c r="K6" s="4" t="n">
        <v>6.28</v>
      </c>
      <c r="L6" s="4" t="n">
        <v>4.84</v>
      </c>
      <c r="M6" s="4" t="n">
        <v>5.02</v>
      </c>
      <c r="N6" s="4" t="n">
        <v>5.39</v>
      </c>
      <c r="O6" s="4" t="n">
        <f aca="false">K6+L6</f>
        <v>11.12</v>
      </c>
      <c r="P6" s="4" t="n">
        <f aca="false">M6+N6</f>
        <v>10.41</v>
      </c>
      <c r="Q6" s="4" t="n">
        <f aca="false">P6-O6</f>
        <v>-0.710000000000001</v>
      </c>
      <c r="R6" s="4" t="n">
        <f aca="false">K6/G6*100</f>
        <v>29.1686019507664</v>
      </c>
      <c r="S6" s="4" t="n">
        <f aca="false">L6/G6*100</f>
        <v>22.480260102183</v>
      </c>
      <c r="T6" s="4" t="n">
        <f aca="false">M6/G6*100</f>
        <v>23.3163028332559</v>
      </c>
      <c r="U6" s="4" t="n">
        <f aca="false">N6/G6*100</f>
        <v>25.0348351137947</v>
      </c>
      <c r="V6" s="3" t="s">
        <v>90</v>
      </c>
      <c r="W6" s="3" t="s">
        <v>87</v>
      </c>
    </row>
    <row r="7" customFormat="false" ht="15" hidden="false" customHeight="false" outlineLevel="0" collapsed="false">
      <c r="A7" s="2" t="s">
        <v>91</v>
      </c>
      <c r="B7" s="2" t="s">
        <v>34</v>
      </c>
      <c r="C7" s="3" t="n">
        <v>1975</v>
      </c>
      <c r="D7" s="3" t="s">
        <v>92</v>
      </c>
      <c r="E7" s="3" t="s">
        <v>45</v>
      </c>
      <c r="F7" s="3" t="s">
        <v>27</v>
      </c>
      <c r="G7" s="3" t="n">
        <v>21.62</v>
      </c>
      <c r="H7" s="3" t="n">
        <v>0.6</v>
      </c>
      <c r="I7" s="3"/>
      <c r="J7" s="3" t="n">
        <v>1</v>
      </c>
      <c r="K7" s="4" t="n">
        <v>6.29</v>
      </c>
      <c r="L7" s="4" t="n">
        <v>4.88</v>
      </c>
      <c r="M7" s="4" t="n">
        <v>5.06</v>
      </c>
      <c r="N7" s="4" t="n">
        <v>5.39</v>
      </c>
      <c r="O7" s="4" t="n">
        <f aca="false">K7+L7</f>
        <v>11.17</v>
      </c>
      <c r="P7" s="4" t="n">
        <f aca="false">M7+N7</f>
        <v>10.45</v>
      </c>
      <c r="Q7" s="4" t="n">
        <f aca="false">P7-O7</f>
        <v>-0.720000000000001</v>
      </c>
      <c r="R7" s="4" t="n">
        <f aca="false">K7/G7*100</f>
        <v>29.0934320074006</v>
      </c>
      <c r="S7" s="4" t="n">
        <f aca="false">L7/G7*100</f>
        <v>22.5716928769658</v>
      </c>
      <c r="T7" s="4" t="n">
        <f aca="false">M7/G7*100</f>
        <v>23.4042553191489</v>
      </c>
      <c r="U7" s="4" t="n">
        <f aca="false">N7/G7*100</f>
        <v>24.9306197964847</v>
      </c>
      <c r="V7" s="3" t="s">
        <v>37</v>
      </c>
      <c r="W7" s="3" t="s">
        <v>93</v>
      </c>
    </row>
    <row r="8" customFormat="false" ht="15" hidden="false" customHeight="false" outlineLevel="0" collapsed="false">
      <c r="A8" s="2" t="s">
        <v>94</v>
      </c>
      <c r="B8" s="2" t="s">
        <v>24</v>
      </c>
      <c r="C8" s="3" t="n">
        <v>1982</v>
      </c>
      <c r="D8" s="3" t="s">
        <v>25</v>
      </c>
      <c r="E8" s="3" t="s">
        <v>26</v>
      </c>
      <c r="F8" s="3" t="s">
        <v>27</v>
      </c>
      <c r="G8" s="3" t="n">
        <v>21.74</v>
      </c>
      <c r="H8" s="3" t="n">
        <v>-0.3</v>
      </c>
      <c r="I8" s="3" t="n">
        <v>4</v>
      </c>
      <c r="J8" s="3" t="n">
        <v>1</v>
      </c>
      <c r="K8" s="4" t="n">
        <v>6.37</v>
      </c>
      <c r="L8" s="4" t="n">
        <v>4.89</v>
      </c>
      <c r="M8" s="4" t="n">
        <v>5.06</v>
      </c>
      <c r="N8" s="4" t="n">
        <v>5.42</v>
      </c>
      <c r="O8" s="4" t="n">
        <f aca="false">K8+L8</f>
        <v>11.26</v>
      </c>
      <c r="P8" s="4" t="n">
        <f aca="false">M8+N8</f>
        <v>10.48</v>
      </c>
      <c r="Q8" s="4" t="n">
        <f aca="false">P8-O8</f>
        <v>-0.779999999999999</v>
      </c>
      <c r="R8" s="4" t="n">
        <f aca="false">K8/G8*100</f>
        <v>29.3008279668813</v>
      </c>
      <c r="S8" s="4" t="n">
        <f aca="false">L8/G8*100</f>
        <v>22.493100275989</v>
      </c>
      <c r="T8" s="4" t="n">
        <f aca="false">M8/G8*100</f>
        <v>23.2750689972401</v>
      </c>
      <c r="U8" s="4" t="n">
        <f aca="false">N8/G8*100</f>
        <v>24.9310027598896</v>
      </c>
      <c r="V8" s="3" t="s">
        <v>95</v>
      </c>
      <c r="W8" s="3" t="s">
        <v>29</v>
      </c>
    </row>
    <row r="9" customFormat="false" ht="15" hidden="false" customHeight="false" outlineLevel="0" collapsed="false">
      <c r="A9" s="2" t="s">
        <v>96</v>
      </c>
      <c r="B9" s="2" t="s">
        <v>34</v>
      </c>
      <c r="C9" s="3" t="n">
        <v>2000</v>
      </c>
      <c r="D9" s="3" t="s">
        <v>97</v>
      </c>
      <c r="E9" s="3" t="s">
        <v>56</v>
      </c>
      <c r="F9" s="3" t="s">
        <v>27</v>
      </c>
      <c r="G9" s="3" t="n">
        <v>21.81</v>
      </c>
      <c r="H9" s="3" t="n">
        <v>-0.2</v>
      </c>
      <c r="I9" s="3" t="n">
        <v>6</v>
      </c>
      <c r="J9" s="3" t="n">
        <v>1</v>
      </c>
      <c r="K9" s="4" t="n">
        <v>6.33</v>
      </c>
      <c r="L9" s="4" t="n">
        <v>4.9</v>
      </c>
      <c r="M9" s="4" t="n">
        <v>5.1</v>
      </c>
      <c r="N9" s="4" t="n">
        <v>5.48</v>
      </c>
      <c r="O9" s="4" t="n">
        <f aca="false">K9+L9</f>
        <v>11.23</v>
      </c>
      <c r="P9" s="4" t="n">
        <f aca="false">M9+N9</f>
        <v>10.58</v>
      </c>
      <c r="Q9" s="4" t="n">
        <f aca="false">P9-O9</f>
        <v>-0.65</v>
      </c>
      <c r="R9" s="4" t="n">
        <f aca="false">K9/G9*100</f>
        <v>29.0233837689133</v>
      </c>
      <c r="S9" s="4" t="n">
        <f aca="false">L9/G9*100</f>
        <v>22.4667583677212</v>
      </c>
      <c r="T9" s="4" t="n">
        <f aca="false">M9/G9*100</f>
        <v>23.3837689133425</v>
      </c>
      <c r="U9" s="4" t="n">
        <f aca="false">N9/G9*100</f>
        <v>25.1260889500229</v>
      </c>
      <c r="V9" s="3" t="s">
        <v>37</v>
      </c>
      <c r="W9" s="3" t="s">
        <v>58</v>
      </c>
    </row>
    <row r="10" customFormat="false" ht="15" hidden="false" customHeight="false" outlineLevel="0" collapsed="false">
      <c r="A10" s="2" t="s">
        <v>80</v>
      </c>
      <c r="B10" s="2" t="s">
        <v>24</v>
      </c>
      <c r="C10" s="3" t="n">
        <v>1994</v>
      </c>
      <c r="D10" s="3" t="s">
        <v>98</v>
      </c>
      <c r="E10" s="3" t="s">
        <v>99</v>
      </c>
      <c r="F10" s="3" t="s">
        <v>27</v>
      </c>
      <c r="G10" s="3" t="n">
        <v>21.41</v>
      </c>
      <c r="H10" s="3" t="n">
        <v>0.2</v>
      </c>
      <c r="I10" s="3" t="n">
        <v>4</v>
      </c>
      <c r="J10" s="3" t="n">
        <v>1</v>
      </c>
      <c r="K10" s="4" t="n">
        <v>6.24</v>
      </c>
      <c r="L10" s="4" t="n">
        <v>4.8</v>
      </c>
      <c r="M10" s="4" t="n">
        <v>5.01</v>
      </c>
      <c r="N10" s="4" t="n">
        <v>5.36</v>
      </c>
      <c r="O10" s="4" t="n">
        <f aca="false">K10+L10</f>
        <v>11.04</v>
      </c>
      <c r="P10" s="4" t="n">
        <f aca="false">M10+N10</f>
        <v>10.37</v>
      </c>
      <c r="Q10" s="4" t="n">
        <f aca="false">P10-O10</f>
        <v>-0.669999999999998</v>
      </c>
      <c r="R10" s="4" t="n">
        <f aca="false">K10/G10*100</f>
        <v>29.1452592246614</v>
      </c>
      <c r="S10" s="4" t="n">
        <f aca="false">L10/G10*100</f>
        <v>22.4194301728164</v>
      </c>
      <c r="T10" s="4" t="n">
        <f aca="false">M10/G10*100</f>
        <v>23.4002802428772</v>
      </c>
      <c r="U10" s="4" t="n">
        <f aca="false">N10/G10*100</f>
        <v>25.035030359645</v>
      </c>
      <c r="V10" s="3" t="s">
        <v>57</v>
      </c>
      <c r="W10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14" min="8" style="0" width="12"/>
  </cols>
  <sheetData>
    <row r="1" customFormat="false" ht="23.85" hidden="false" customHeight="false" outlineLevel="0" collapsed="false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  <row r="2" customFormat="false" ht="15" hidden="false" customHeight="false" outlineLevel="0" collapsed="false">
      <c r="A2" s="2" t="s">
        <v>115</v>
      </c>
      <c r="B2" s="2" t="s">
        <v>116</v>
      </c>
      <c r="C2" s="3" t="n">
        <v>19.19</v>
      </c>
      <c r="D2" s="3" t="n">
        <v>29.18</v>
      </c>
      <c r="E2" s="3" t="n">
        <v>22.51</v>
      </c>
      <c r="F2" s="3" t="n">
        <v>23.55</v>
      </c>
      <c r="G2" s="3" t="n">
        <v>24.75</v>
      </c>
      <c r="H2" s="3" t="n">
        <f aca="false">C2*D2/100</f>
        <v>5.599642</v>
      </c>
      <c r="I2" s="3" t="n">
        <f aca="false">C2*E2/100</f>
        <v>4.319669</v>
      </c>
      <c r="J2" s="3" t="n">
        <f aca="false">C2*F2/100</f>
        <v>4.519245</v>
      </c>
      <c r="K2" s="3" t="n">
        <f aca="false">C2*G2/100</f>
        <v>4.749525</v>
      </c>
      <c r="L2" s="3" t="n">
        <f aca="false">H2+I2</f>
        <v>9.919311</v>
      </c>
      <c r="M2" s="3" t="n">
        <f aca="false">J2+K2</f>
        <v>9.26877</v>
      </c>
      <c r="N2" s="3" t="n">
        <f aca="false">M2-L2</f>
        <v>-0.650541000000001</v>
      </c>
    </row>
    <row r="3" customFormat="false" ht="15" hidden="false" customHeight="false" outlineLevel="0" collapsed="false">
      <c r="A3" s="2" t="s">
        <v>117</v>
      </c>
      <c r="B3" s="2" t="s">
        <v>116</v>
      </c>
      <c r="C3" s="3" t="n">
        <v>19.5</v>
      </c>
      <c r="D3" s="3" t="n">
        <v>29.23</v>
      </c>
      <c r="E3" s="3" t="n">
        <v>22.56</v>
      </c>
      <c r="F3" s="3" t="n">
        <v>23.49</v>
      </c>
      <c r="G3" s="3" t="n">
        <v>24.72</v>
      </c>
      <c r="H3" s="3" t="n">
        <f aca="false">C3*D3/100</f>
        <v>5.69985</v>
      </c>
      <c r="I3" s="3" t="n">
        <f aca="false">C3*E3/100</f>
        <v>4.3992</v>
      </c>
      <c r="J3" s="3" t="n">
        <f aca="false">C3*F3/100</f>
        <v>4.58055</v>
      </c>
      <c r="K3" s="3" t="n">
        <f aca="false">C3*G3/100</f>
        <v>4.8204</v>
      </c>
      <c r="L3" s="3" t="n">
        <f aca="false">H3+I3</f>
        <v>10.09905</v>
      </c>
      <c r="M3" s="3" t="n">
        <f aca="false">J3+K3</f>
        <v>9.40095</v>
      </c>
      <c r="N3" s="3" t="n">
        <f aca="false">M3-L3</f>
        <v>-0.698100000000002</v>
      </c>
    </row>
    <row r="4" customFormat="false" ht="15" hidden="false" customHeight="false" outlineLevel="0" collapsed="false">
      <c r="A4" s="2" t="s">
        <v>118</v>
      </c>
      <c r="B4" s="2" t="s">
        <v>116</v>
      </c>
      <c r="C4" s="3" t="n">
        <v>19.95</v>
      </c>
      <c r="D4" s="3" t="n">
        <v>29.27</v>
      </c>
      <c r="E4" s="3" t="n">
        <v>22.61</v>
      </c>
      <c r="F4" s="3" t="n">
        <v>23.41</v>
      </c>
      <c r="G4" s="3" t="n">
        <v>24.71</v>
      </c>
      <c r="H4" s="3" t="n">
        <f aca="false">C4*D4/100</f>
        <v>5.839365</v>
      </c>
      <c r="I4" s="3" t="n">
        <f aca="false">C4*E4/100</f>
        <v>4.510695</v>
      </c>
      <c r="J4" s="3" t="n">
        <f aca="false">C4*F4/100</f>
        <v>4.670295</v>
      </c>
      <c r="K4" s="3" t="n">
        <f aca="false">C4*G4/100</f>
        <v>4.929645</v>
      </c>
      <c r="L4" s="3" t="n">
        <f aca="false">H4+I4</f>
        <v>10.35006</v>
      </c>
      <c r="M4" s="3" t="n">
        <f aca="false">J4+K4</f>
        <v>9.59994</v>
      </c>
      <c r="N4" s="3" t="n">
        <f aca="false">M4-L4</f>
        <v>-0.750119999999999</v>
      </c>
    </row>
    <row r="5" customFormat="false" ht="15" hidden="false" customHeight="false" outlineLevel="0" collapsed="false">
      <c r="A5" s="2" t="s">
        <v>119</v>
      </c>
      <c r="B5" s="2" t="s">
        <v>116</v>
      </c>
      <c r="C5" s="3" t="n">
        <v>20.6</v>
      </c>
      <c r="D5" s="3" t="n">
        <v>29.37</v>
      </c>
      <c r="E5" s="3" t="n">
        <v>22.57</v>
      </c>
      <c r="F5" s="3" t="n">
        <v>23.3</v>
      </c>
      <c r="G5" s="3" t="n">
        <v>24.76</v>
      </c>
      <c r="H5" s="3" t="n">
        <f aca="false">C5*D5/100</f>
        <v>6.05022</v>
      </c>
      <c r="I5" s="3" t="n">
        <f aca="false">C5*E5/100</f>
        <v>4.64942</v>
      </c>
      <c r="J5" s="3" t="n">
        <f aca="false">C5*F5/100</f>
        <v>4.7998</v>
      </c>
      <c r="K5" s="3" t="n">
        <f aca="false">C5*G5/100</f>
        <v>5.10056</v>
      </c>
      <c r="L5" s="3" t="n">
        <f aca="false">H5+I5</f>
        <v>10.69964</v>
      </c>
      <c r="M5" s="3" t="n">
        <f aca="false">J5+K5</f>
        <v>9.90036</v>
      </c>
      <c r="N5" s="3" t="n">
        <f aca="false">M5-L5</f>
        <v>-0.79928</v>
      </c>
    </row>
    <row r="6" customFormat="false" ht="15" hidden="false" customHeight="false" outlineLevel="0" collapsed="false">
      <c r="A6" s="2" t="s">
        <v>120</v>
      </c>
      <c r="B6" s="2" t="s">
        <v>116</v>
      </c>
      <c r="C6" s="3" t="n">
        <v>21.4</v>
      </c>
      <c r="D6" s="3" t="n">
        <v>29.44</v>
      </c>
      <c r="E6" s="3" t="n">
        <v>22.52</v>
      </c>
      <c r="F6" s="3" t="n">
        <v>23.22</v>
      </c>
      <c r="G6" s="3" t="n">
        <v>24.81</v>
      </c>
      <c r="H6" s="3" t="n">
        <f aca="false">C6*D6/100</f>
        <v>6.30016</v>
      </c>
      <c r="I6" s="3" t="n">
        <f aca="false">C6*E6/100</f>
        <v>4.81928</v>
      </c>
      <c r="J6" s="3" t="n">
        <f aca="false">C6*F6/100</f>
        <v>4.96908</v>
      </c>
      <c r="K6" s="3" t="n">
        <f aca="false">C6*G6/100</f>
        <v>5.30934</v>
      </c>
      <c r="L6" s="3" t="n">
        <f aca="false">H6+I6</f>
        <v>11.11944</v>
      </c>
      <c r="M6" s="3" t="n">
        <f aca="false">J6+K6</f>
        <v>10.27842</v>
      </c>
      <c r="N6" s="3" t="n">
        <f aca="false">M6-L6</f>
        <v>-0.841019999999999</v>
      </c>
    </row>
    <row r="7" customFormat="false" ht="15" hidden="false" customHeight="false" outlineLevel="0" collapsed="false">
      <c r="A7" s="2" t="s">
        <v>121</v>
      </c>
      <c r="B7" s="2" t="s">
        <v>116</v>
      </c>
      <c r="C7" s="3" t="n">
        <v>23</v>
      </c>
      <c r="D7" s="3" t="n">
        <v>29.57</v>
      </c>
      <c r="E7" s="3" t="n">
        <v>22.43</v>
      </c>
      <c r="F7" s="3" t="n">
        <v>23.09</v>
      </c>
      <c r="G7" s="3" t="n">
        <v>24.91</v>
      </c>
      <c r="H7" s="3" t="n">
        <f aca="false">C7*D7/100</f>
        <v>6.8011</v>
      </c>
      <c r="I7" s="3" t="n">
        <f aca="false">C7*E7/100</f>
        <v>5.1589</v>
      </c>
      <c r="J7" s="3" t="n">
        <f aca="false">C7*F7/100</f>
        <v>5.3107</v>
      </c>
      <c r="K7" s="3" t="n">
        <f aca="false">C7*G7/100</f>
        <v>5.7293</v>
      </c>
      <c r="L7" s="3" t="n">
        <f aca="false">H7+I7</f>
        <v>11.96</v>
      </c>
      <c r="M7" s="3" t="n">
        <f aca="false">J7+K7</f>
        <v>11.04</v>
      </c>
      <c r="N7" s="3" t="n">
        <f aca="false">M7-L7</f>
        <v>-0.920000000000002</v>
      </c>
    </row>
    <row r="8" customFormat="false" ht="15" hidden="false" customHeight="false" outlineLevel="0" collapsed="false">
      <c r="A8" s="2" t="s">
        <v>122</v>
      </c>
      <c r="B8" s="2" t="s">
        <v>116</v>
      </c>
      <c r="C8" s="3" t="n">
        <v>26</v>
      </c>
      <c r="D8" s="3" t="n">
        <v>29.77</v>
      </c>
      <c r="E8" s="3" t="n">
        <v>22.31</v>
      </c>
      <c r="F8" s="3" t="n">
        <v>22.88</v>
      </c>
      <c r="G8" s="3" t="n">
        <v>25.04</v>
      </c>
      <c r="H8" s="3" t="n">
        <f aca="false">C8*D8/100</f>
        <v>7.7402</v>
      </c>
      <c r="I8" s="3" t="n">
        <f aca="false">C8*E8/100</f>
        <v>5.8006</v>
      </c>
      <c r="J8" s="3" t="n">
        <f aca="false">C8*F8/100</f>
        <v>5.9488</v>
      </c>
      <c r="K8" s="3" t="n">
        <f aca="false">C8*G8/100</f>
        <v>6.5104</v>
      </c>
      <c r="L8" s="3" t="n">
        <f aca="false">H8+I8</f>
        <v>13.5408</v>
      </c>
      <c r="M8" s="3" t="n">
        <f aca="false">J8+K8</f>
        <v>12.4592</v>
      </c>
      <c r="N8" s="3" t="n">
        <f aca="false">M8-L8</f>
        <v>-1.0816</v>
      </c>
    </row>
    <row r="9" customFormat="false" ht="15" hidden="false" customHeight="false" outlineLevel="0" collapsed="false">
      <c r="A9" s="2" t="s">
        <v>115</v>
      </c>
      <c r="B9" s="2" t="s">
        <v>123</v>
      </c>
      <c r="C9" s="3" t="n">
        <v>21.34</v>
      </c>
      <c r="D9" s="3" t="n">
        <v>29.05</v>
      </c>
      <c r="E9" s="3" t="n">
        <v>22.26</v>
      </c>
      <c r="F9" s="3" t="n">
        <v>23.24</v>
      </c>
      <c r="G9" s="3" t="n">
        <v>25.44</v>
      </c>
      <c r="H9" s="3" t="n">
        <f aca="false">C9*D9/100</f>
        <v>6.19927</v>
      </c>
      <c r="I9" s="3" t="n">
        <f aca="false">C9*E9/100</f>
        <v>4.750284</v>
      </c>
      <c r="J9" s="3" t="n">
        <f aca="false">C9*F9/100</f>
        <v>4.959416</v>
      </c>
      <c r="K9" s="3" t="n">
        <f aca="false">C9*G9/100</f>
        <v>5.428896</v>
      </c>
      <c r="L9" s="3" t="n">
        <f aca="false">H9+I9</f>
        <v>10.949554</v>
      </c>
      <c r="M9" s="3" t="n">
        <f aca="false">J9+K9</f>
        <v>10.388312</v>
      </c>
      <c r="N9" s="3" t="n">
        <f aca="false">M9-L9</f>
        <v>-0.561242000000002</v>
      </c>
    </row>
    <row r="10" customFormat="false" ht="15" hidden="false" customHeight="false" outlineLevel="0" collapsed="false">
      <c r="A10" s="2" t="s">
        <v>124</v>
      </c>
      <c r="B10" s="2" t="s">
        <v>123</v>
      </c>
      <c r="C10" s="3" t="n">
        <v>21.6</v>
      </c>
      <c r="D10" s="3" t="n">
        <v>29.07</v>
      </c>
      <c r="E10" s="3" t="n">
        <v>22.31</v>
      </c>
      <c r="F10" s="3" t="n">
        <v>23.29</v>
      </c>
      <c r="G10" s="3" t="n">
        <v>25.32</v>
      </c>
      <c r="H10" s="3" t="n">
        <f aca="false">C10*D10/100</f>
        <v>6.27912</v>
      </c>
      <c r="I10" s="3" t="n">
        <f aca="false">C10*E10/100</f>
        <v>4.81896</v>
      </c>
      <c r="J10" s="3" t="n">
        <f aca="false">C10*F10/100</f>
        <v>5.03064</v>
      </c>
      <c r="K10" s="3" t="n">
        <f aca="false">C10*G10/100</f>
        <v>5.46912</v>
      </c>
      <c r="L10" s="3" t="n">
        <f aca="false">H10+I10</f>
        <v>11.09808</v>
      </c>
      <c r="M10" s="3" t="n">
        <f aca="false">J10+K10</f>
        <v>10.49976</v>
      </c>
      <c r="N10" s="3" t="n">
        <f aca="false">M10-L10</f>
        <v>-0.598320000000001</v>
      </c>
    </row>
    <row r="11" customFormat="false" ht="15" hidden="false" customHeight="false" outlineLevel="0" collapsed="false">
      <c r="A11" s="2" t="s">
        <v>125</v>
      </c>
      <c r="B11" s="2" t="s">
        <v>123</v>
      </c>
      <c r="C11" s="3" t="n">
        <v>22.15</v>
      </c>
      <c r="D11" s="3" t="n">
        <v>29.16</v>
      </c>
      <c r="E11" s="3" t="n">
        <v>22.35</v>
      </c>
      <c r="F11" s="3" t="n">
        <v>23.25</v>
      </c>
      <c r="G11" s="3" t="n">
        <v>25.24</v>
      </c>
      <c r="H11" s="3" t="n">
        <f aca="false">C11*D11/100</f>
        <v>6.45894</v>
      </c>
      <c r="I11" s="3" t="n">
        <f aca="false">C11*E11/100</f>
        <v>4.950525</v>
      </c>
      <c r="J11" s="3" t="n">
        <f aca="false">C11*F11/100</f>
        <v>5.149875</v>
      </c>
      <c r="K11" s="3" t="n">
        <f aca="false">C11*G11/100</f>
        <v>5.59066</v>
      </c>
      <c r="L11" s="3" t="n">
        <f aca="false">H11+I11</f>
        <v>11.409465</v>
      </c>
      <c r="M11" s="3" t="n">
        <f aca="false">J11+K11</f>
        <v>10.740535</v>
      </c>
      <c r="N11" s="3" t="n">
        <f aca="false">M11-L11</f>
        <v>-0.668930000000003</v>
      </c>
    </row>
    <row r="12" customFormat="false" ht="15" hidden="false" customHeight="false" outlineLevel="0" collapsed="false">
      <c r="A12" s="2" t="s">
        <v>126</v>
      </c>
      <c r="B12" s="2" t="s">
        <v>123</v>
      </c>
      <c r="C12" s="3" t="n">
        <v>23.25</v>
      </c>
      <c r="D12" s="3" t="n">
        <v>29.29</v>
      </c>
      <c r="E12" s="3" t="n">
        <v>22.32</v>
      </c>
      <c r="F12" s="3" t="n">
        <v>23.14</v>
      </c>
      <c r="G12" s="3" t="n">
        <v>25.25</v>
      </c>
      <c r="H12" s="3" t="n">
        <f aca="false">C12*D12/100</f>
        <v>6.809925</v>
      </c>
      <c r="I12" s="3" t="n">
        <f aca="false">C12*E12/100</f>
        <v>5.1894</v>
      </c>
      <c r="J12" s="3" t="n">
        <f aca="false">C12*F12/100</f>
        <v>5.38005</v>
      </c>
      <c r="K12" s="3" t="n">
        <f aca="false">C12*G12/100</f>
        <v>5.870625</v>
      </c>
      <c r="L12" s="3" t="n">
        <f aca="false">H12+I12</f>
        <v>11.999325</v>
      </c>
      <c r="M12" s="3" t="n">
        <f aca="false">J12+K12</f>
        <v>11.250675</v>
      </c>
      <c r="N12" s="3" t="n">
        <f aca="false">M12-L12</f>
        <v>-0.74865</v>
      </c>
    </row>
    <row r="13" customFormat="false" ht="15" hidden="false" customHeight="false" outlineLevel="0" collapsed="false">
      <c r="A13" s="2" t="s">
        <v>127</v>
      </c>
      <c r="B13" s="2" t="s">
        <v>123</v>
      </c>
      <c r="C13" s="3" t="n">
        <v>24.5</v>
      </c>
      <c r="D13" s="3" t="n">
        <v>29.39</v>
      </c>
      <c r="E13" s="3" t="n">
        <v>22.24</v>
      </c>
      <c r="F13" s="3" t="n">
        <v>23.02</v>
      </c>
      <c r="G13" s="3" t="n">
        <v>25.35</v>
      </c>
      <c r="H13" s="3" t="n">
        <f aca="false">C13*D13/100</f>
        <v>7.20055</v>
      </c>
      <c r="I13" s="3" t="n">
        <f aca="false">C13*E13/100</f>
        <v>5.4488</v>
      </c>
      <c r="J13" s="3" t="n">
        <f aca="false">C13*F13/100</f>
        <v>5.6399</v>
      </c>
      <c r="K13" s="3" t="n">
        <f aca="false">C13*G13/100</f>
        <v>6.21075</v>
      </c>
      <c r="L13" s="3" t="n">
        <f aca="false">H13+I13</f>
        <v>12.64935</v>
      </c>
      <c r="M13" s="3" t="n">
        <f aca="false">J13+K13</f>
        <v>11.85065</v>
      </c>
      <c r="N13" s="3" t="n">
        <f aca="false">M13-L13</f>
        <v>-0.7987</v>
      </c>
    </row>
    <row r="14" customFormat="false" ht="15" hidden="false" customHeight="false" outlineLevel="0" collapsed="false">
      <c r="A14" s="2" t="s">
        <v>128</v>
      </c>
      <c r="B14" s="2" t="s">
        <v>123</v>
      </c>
      <c r="C14" s="3" t="n">
        <v>26.75</v>
      </c>
      <c r="D14" s="3" t="n">
        <v>29.55</v>
      </c>
      <c r="E14" s="3" t="n">
        <v>22.13</v>
      </c>
      <c r="F14" s="3" t="n">
        <v>22.88</v>
      </c>
      <c r="G14" s="3" t="n">
        <v>25.44</v>
      </c>
      <c r="H14" s="3" t="n">
        <f aca="false">C14*D14/100</f>
        <v>7.904625</v>
      </c>
      <c r="I14" s="3" t="n">
        <f aca="false">C14*E14/100</f>
        <v>5.919775</v>
      </c>
      <c r="J14" s="3" t="n">
        <f aca="false">C14*F14/100</f>
        <v>6.1204</v>
      </c>
      <c r="K14" s="3" t="n">
        <f aca="false">C14*G14/100</f>
        <v>6.8052</v>
      </c>
      <c r="L14" s="3" t="n">
        <f aca="false">H14+I14</f>
        <v>13.8244</v>
      </c>
      <c r="M14" s="3" t="n">
        <f aca="false">J14+K14</f>
        <v>12.9256</v>
      </c>
      <c r="N14" s="3" t="n">
        <f aca="false">M14-L14</f>
        <v>-0.8988</v>
      </c>
    </row>
    <row r="15" customFormat="false" ht="15" hidden="false" customHeight="false" outlineLevel="0" collapsed="false">
      <c r="A15" s="2" t="s">
        <v>129</v>
      </c>
      <c r="B15" s="2" t="s">
        <v>123</v>
      </c>
      <c r="C15" s="3" t="n">
        <v>31</v>
      </c>
      <c r="D15" s="3" t="n">
        <v>29.74</v>
      </c>
      <c r="E15" s="3" t="n">
        <v>21.97</v>
      </c>
      <c r="F15" s="3" t="n">
        <v>22.65</v>
      </c>
      <c r="G15" s="3" t="n">
        <v>25.65</v>
      </c>
      <c r="H15" s="3" t="n">
        <f aca="false">C15*D15/100</f>
        <v>9.2194</v>
      </c>
      <c r="I15" s="3" t="n">
        <f aca="false">C15*E15/100</f>
        <v>6.8107</v>
      </c>
      <c r="J15" s="3" t="n">
        <f aca="false">C15*F15/100</f>
        <v>7.0215</v>
      </c>
      <c r="K15" s="3" t="n">
        <f aca="false">C15*G15/100</f>
        <v>7.9515</v>
      </c>
      <c r="L15" s="3" t="n">
        <f aca="false">H15+I15</f>
        <v>16.0301</v>
      </c>
      <c r="M15" s="3" t="n">
        <f aca="false">J15+K15</f>
        <v>14.973</v>
      </c>
      <c r="N15" s="3" t="n">
        <f aca="false">M15-L15</f>
        <v>-1.0571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5" t="s">
        <v>130</v>
      </c>
    </row>
    <row r="3" customFormat="false" ht="15" hidden="false" customHeight="false" outlineLevel="0" collapsed="false">
      <c r="A3" s="0" t="s">
        <v>131</v>
      </c>
      <c r="C3" s="6" t="n">
        <v>22</v>
      </c>
    </row>
    <row r="4" customFormat="false" ht="15" hidden="false" customHeight="false" outlineLevel="0" collapsed="false">
      <c r="A4" s="0" t="s">
        <v>132</v>
      </c>
      <c r="C4" s="0" t="s">
        <v>133</v>
      </c>
    </row>
    <row r="6" customFormat="false" ht="15" hidden="false" customHeight="false" outlineLevel="0" collapsed="false">
      <c r="A6" s="0" t="s">
        <v>134</v>
      </c>
    </row>
    <row r="7" customFormat="false" ht="15" hidden="false" customHeight="false" outlineLevel="0" collapsed="false">
      <c r="A7" s="1" t="s">
        <v>135</v>
      </c>
      <c r="B7" s="1" t="s">
        <v>136</v>
      </c>
      <c r="C7" s="1" t="s">
        <v>137</v>
      </c>
      <c r="D7" s="1" t="s">
        <v>138</v>
      </c>
      <c r="E7" s="1" t="s">
        <v>139</v>
      </c>
    </row>
    <row r="8" customFormat="false" ht="15" hidden="false" customHeight="false" outlineLevel="0" collapsed="false">
      <c r="A8" s="0" t="s">
        <v>140</v>
      </c>
      <c r="B8" s="0" t="n">
        <f aca="false">IF(C4="M",C3*0.2927,C3*0.2916)</f>
        <v>6.4394</v>
      </c>
      <c r="C8" s="0" t="n">
        <f aca="false">B8</f>
        <v>6.4394</v>
      </c>
      <c r="D8" s="0" t="n">
        <f aca="false">50/B8</f>
        <v>7.76469857440134</v>
      </c>
      <c r="E8" s="0" t="n">
        <f aca="false">B8/C3*100</f>
        <v>29.27</v>
      </c>
    </row>
    <row r="9" customFormat="false" ht="15" hidden="false" customHeight="false" outlineLevel="0" collapsed="false">
      <c r="A9" s="0" t="s">
        <v>141</v>
      </c>
      <c r="B9" s="0" t="n">
        <f aca="false">IF(C4="M",C3*0.2261,C3*0.2235)</f>
        <v>4.9742</v>
      </c>
      <c r="C9" s="0" t="n">
        <f aca="false">C8+B9</f>
        <v>11.4136</v>
      </c>
      <c r="D9" s="0" t="n">
        <f aca="false">50/B9</f>
        <v>10.051867637007</v>
      </c>
      <c r="E9" s="0" t="n">
        <f aca="false">B9/C3*100</f>
        <v>22.61</v>
      </c>
    </row>
    <row r="10" customFormat="false" ht="15" hidden="false" customHeight="false" outlineLevel="0" collapsed="false">
      <c r="A10" s="0" t="s">
        <v>142</v>
      </c>
      <c r="B10" s="0" t="n">
        <f aca="false">IF(C4="M",C3*0.2341,C3*0.2325)</f>
        <v>5.1502</v>
      </c>
      <c r="C10" s="0" t="n">
        <f aca="false">C9+B10</f>
        <v>16.5638</v>
      </c>
      <c r="D10" s="0" t="n">
        <f aca="false">50/B10</f>
        <v>9.70836084035572</v>
      </c>
      <c r="E10" s="0" t="n">
        <f aca="false">B10/C3*100</f>
        <v>23.41</v>
      </c>
    </row>
    <row r="11" customFormat="false" ht="15" hidden="false" customHeight="false" outlineLevel="0" collapsed="false">
      <c r="A11" s="0" t="s">
        <v>143</v>
      </c>
      <c r="B11" s="0" t="n">
        <f aca="false">IF(C4="M",C3*0.2471,C3*0.2524)</f>
        <v>5.4362</v>
      </c>
      <c r="C11" s="0" t="n">
        <f aca="false">C10+B11</f>
        <v>22</v>
      </c>
      <c r="D11" s="0" t="n">
        <f aca="false">50/B11</f>
        <v>9.19760126558994</v>
      </c>
      <c r="E11" s="0" t="n">
        <f aca="false">B11/C3*100</f>
        <v>24.71</v>
      </c>
    </row>
    <row r="12" customFormat="false" ht="15" hidden="false" customHeight="false" outlineLevel="0" collapsed="false">
      <c r="A12" s="0" t="s">
        <v>144</v>
      </c>
      <c r="B12" s="0" t="n">
        <f aca="false">SUM(B8:B11)</f>
        <v>22</v>
      </c>
      <c r="C12" s="0" t="n">
        <f aca="false">C11</f>
        <v>22</v>
      </c>
    </row>
    <row r="14" customFormat="false" ht="15" hidden="false" customHeight="false" outlineLevel="0" collapsed="false">
      <c r="A14" s="0" t="s">
        <v>145</v>
      </c>
      <c r="B14" s="0" t="n">
        <f aca="false">B8+B9</f>
        <v>11.4136</v>
      </c>
    </row>
    <row r="15" customFormat="false" ht="15" hidden="false" customHeight="false" outlineLevel="0" collapsed="false">
      <c r="A15" s="0" t="s">
        <v>146</v>
      </c>
      <c r="B15" s="0" t="n">
        <f aca="false">B10+B11</f>
        <v>10.5864</v>
      </c>
    </row>
    <row r="16" customFormat="false" ht="15" hidden="false" customHeight="false" outlineLevel="0" collapsed="false">
      <c r="A16" s="0" t="s">
        <v>114</v>
      </c>
      <c r="B16" s="0" t="n">
        <f aca="false">B15-B14</f>
        <v>-0.8272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5" t="s">
        <v>147</v>
      </c>
    </row>
    <row r="3" customFormat="false" ht="15" hidden="false" customHeight="false" outlineLevel="0" collapsed="false">
      <c r="A3" s="7" t="s">
        <v>148</v>
      </c>
      <c r="B3" s="8" t="s">
        <v>149</v>
      </c>
      <c r="C3" s="8" t="s">
        <v>150</v>
      </c>
    </row>
    <row r="4" customFormat="false" ht="15" hidden="false" customHeight="false" outlineLevel="0" collapsed="false">
      <c r="A4" s="8"/>
      <c r="B4" s="8" t="s">
        <v>151</v>
      </c>
      <c r="C4" s="8" t="s">
        <v>152</v>
      </c>
    </row>
    <row r="5" customFormat="false" ht="15" hidden="false" customHeight="false" outlineLevel="0" collapsed="false">
      <c r="A5" s="8"/>
      <c r="B5" s="8" t="s">
        <v>153</v>
      </c>
      <c r="C5" s="8" t="s">
        <v>154</v>
      </c>
    </row>
    <row r="6" customFormat="false" ht="15" hidden="false" customHeight="false" outlineLevel="0" collapsed="false">
      <c r="A6" s="7" t="s">
        <v>155</v>
      </c>
      <c r="B6" s="8" t="s">
        <v>156</v>
      </c>
      <c r="C6" s="8" t="s">
        <v>157</v>
      </c>
    </row>
    <row r="7" customFormat="false" ht="15" hidden="false" customHeight="false" outlineLevel="0" collapsed="false">
      <c r="A7" s="8"/>
      <c r="B7" s="8" t="s">
        <v>58</v>
      </c>
      <c r="C7" s="8" t="s">
        <v>158</v>
      </c>
    </row>
    <row r="8" customFormat="false" ht="15" hidden="false" customHeight="false" outlineLevel="0" collapsed="false">
      <c r="A8" s="7" t="s">
        <v>159</v>
      </c>
      <c r="B8" s="8" t="s">
        <v>160</v>
      </c>
      <c r="C8" s="8" t="s">
        <v>161</v>
      </c>
    </row>
    <row r="9" customFormat="false" ht="15" hidden="false" customHeight="false" outlineLevel="0" collapsed="false">
      <c r="A9" s="8"/>
      <c r="B9" s="8"/>
      <c r="C9" s="8"/>
    </row>
    <row r="10" customFormat="false" ht="15" hidden="false" customHeight="false" outlineLevel="0" collapsed="false">
      <c r="A10" s="7" t="s">
        <v>162</v>
      </c>
      <c r="B10" s="8"/>
      <c r="C10" s="8"/>
    </row>
    <row r="11" customFormat="false" ht="15" hidden="false" customHeight="false" outlineLevel="0" collapsed="false">
      <c r="A11" s="8"/>
      <c r="B11" s="8" t="s">
        <v>163</v>
      </c>
      <c r="C11" s="8"/>
    </row>
    <row r="12" customFormat="false" ht="15" hidden="false" customHeight="false" outlineLevel="0" collapsed="false">
      <c r="A12" s="8"/>
      <c r="B12" s="8" t="s">
        <v>164</v>
      </c>
      <c r="C12" s="8"/>
    </row>
    <row r="13" customFormat="false" ht="15" hidden="false" customHeight="false" outlineLevel="0" collapsed="false">
      <c r="A13" s="8"/>
      <c r="B13" s="8" t="s">
        <v>165</v>
      </c>
      <c r="C13" s="8"/>
    </row>
    <row r="14" customFormat="false" ht="15" hidden="false" customHeight="false" outlineLevel="0" collapsed="false">
      <c r="A14" s="8"/>
      <c r="B14" s="8" t="s">
        <v>166</v>
      </c>
      <c r="C14" s="8"/>
    </row>
    <row r="15" customFormat="false" ht="15" hidden="false" customHeight="false" outlineLevel="0" collapsed="false">
      <c r="A15" s="8"/>
      <c r="B15" s="8" t="s">
        <v>167</v>
      </c>
      <c r="C15" s="8"/>
    </row>
    <row r="16" customFormat="false" ht="15" hidden="false" customHeight="false" outlineLevel="0" collapsed="false">
      <c r="A16" s="8"/>
      <c r="B16" s="8" t="s">
        <v>168</v>
      </c>
      <c r="C16" s="8"/>
    </row>
    <row r="17" customFormat="false" ht="15" hidden="false" customHeight="false" outlineLevel="0" collapsed="false">
      <c r="A17" s="8"/>
      <c r="B17" s="8" t="s">
        <v>169</v>
      </c>
      <c r="C17" s="8"/>
    </row>
    <row r="18" customFormat="false" ht="15" hidden="false" customHeight="false" outlineLevel="0" collapsed="false">
      <c r="A18" s="8"/>
      <c r="B18" s="8" t="s">
        <v>170</v>
      </c>
      <c r="C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2026-03-21T13:19:54Z</dcterms:created>
  <dc:creator>openpyxl</dc:creator>
  <dc:description/>
  <dc:language>en-US</dc:language>
  <cp:lastModifiedBy/>
  <dcterms:modified xsi:type="dcterms:W3CDTF">2026-03-21T13:19:54Z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