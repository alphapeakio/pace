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n 5K Track Splits" sheetId="1" state="visible" r:id="rId3"/>
    <sheet name="Women 5K Track Splits" sheetId="2" state="visible" r:id="rId4"/>
    <sheet name="XC Adjustments" sheetId="3" state="visible" r:id="rId5"/>
    <sheet name="Pacing Model" sheetId="4" state="visible" r:id="rId6"/>
    <sheet name="Pace Calculator" sheetId="5" state="visible" r:id="rId7"/>
    <sheet name="Sources &amp; Not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<sst xmlns="http://schemas.openxmlformats.org/spreadsheetml/2006/main" count="327" uniqueCount="226">
  <si>
    <t xml:space="preserve">Athlete</t>
  </si>
  <si>
    <t xml:space="preserve">Nationality</t>
  </si>
  <si>
    <t xml:space="preserve">Birth Year</t>
  </si>
  <si>
    <t xml:space="preserve">Date</t>
  </si>
  <si>
    <t xml:space="preserve">Competition</t>
  </si>
  <si>
    <t xml:space="preserve">Venue</t>
  </si>
  <si>
    <t xml:space="preserve">Official Time (s)</t>
  </si>
  <si>
    <t xml:space="preserve">Place</t>
  </si>
  <si>
    <t xml:space="preserve">0-1K (s)</t>
  </si>
  <si>
    <t xml:space="preserve">1-2K (s)</t>
  </si>
  <si>
    <t xml:space="preserve">2-3K (s)</t>
  </si>
  <si>
    <t xml:space="preserve">3-4K (s)</t>
  </si>
  <si>
    <t xml:space="preserve">4-5K (s)</t>
  </si>
  <si>
    <t xml:space="preserve">1st Half (s)</t>
  </si>
  <si>
    <t xml:space="preserve">2nd Half (s)</t>
  </si>
  <si>
    <t xml:space="preserve">Differential (s)</t>
  </si>
  <si>
    <t xml:space="preserve">Avg per K (s)</t>
  </si>
  <si>
    <t xml:space="preserve">Record Type</t>
  </si>
  <si>
    <t xml:space="preserve">Source</t>
  </si>
  <si>
    <t xml:space="preserve">Cheptegei, Joshua</t>
  </si>
  <si>
    <t xml:space="preserve">UGA</t>
  </si>
  <si>
    <t xml:space="preserve">2020-08-14</t>
  </si>
  <si>
    <t xml:space="preserve">Diamond League Monaco</t>
  </si>
  <si>
    <t xml:space="preserve">Track</t>
  </si>
  <si>
    <t xml:space="preserve">WR</t>
  </si>
  <si>
    <t xml:space="preserve">World Athletics/Omega</t>
  </si>
  <si>
    <t xml:space="preserve">Bekele, Kenenisa</t>
  </si>
  <si>
    <t xml:space="preserve">ETH</t>
  </si>
  <si>
    <t xml:space="preserve">2004-05-31</t>
  </si>
  <si>
    <t xml:space="preserve">Hengelo Grand Prix</t>
  </si>
  <si>
    <t xml:space="preserve">IAAF Historical</t>
  </si>
  <si>
    <t xml:space="preserve">Ingebrigtsen, Jakob</t>
  </si>
  <si>
    <t xml:space="preserve">NOR</t>
  </si>
  <si>
    <t xml:space="preserve">2024-08-10</t>
  </si>
  <si>
    <t xml:space="preserve">Olympic Games Paris</t>
  </si>
  <si>
    <t xml:space="preserve">OR</t>
  </si>
  <si>
    <t xml:space="preserve">Paris 2024 Results Book</t>
  </si>
  <si>
    <t xml:space="preserve">2019-11-24</t>
  </si>
  <si>
    <t xml:space="preserve">IAAF XC Championships Aarhus</t>
  </si>
  <si>
    <t xml:space="preserve">XC</t>
  </si>
  <si>
    <t xml:space="preserve">WXC</t>
  </si>
  <si>
    <t xml:space="preserve">World Athletics</t>
  </si>
  <si>
    <t xml:space="preserve">Fisher, Grant</t>
  </si>
  <si>
    <t xml:space="preserve">USA</t>
  </si>
  <si>
    <t xml:space="preserve">AR</t>
  </si>
  <si>
    <t xml:space="preserve">Cheruiyot, Timothy</t>
  </si>
  <si>
    <t xml:space="preserve">KEN</t>
  </si>
  <si>
    <t xml:space="preserve">PB</t>
  </si>
  <si>
    <t xml:space="preserve">Omega Timing (2020)</t>
  </si>
  <si>
    <t xml:space="preserve">Barega, Selemon</t>
  </si>
  <si>
    <t xml:space="preserve">2021-08-06</t>
  </si>
  <si>
    <t xml:space="preserve">Olympic Games Tokyo</t>
  </si>
  <si>
    <t xml:space="preserve">Omega Timing (2021)</t>
  </si>
  <si>
    <t xml:space="preserve">Kejelcha, Yomif</t>
  </si>
  <si>
    <t xml:space="preserve">2018-09-07</t>
  </si>
  <si>
    <t xml:space="preserve">Diamond League Brussels</t>
  </si>
  <si>
    <t xml:space="preserve">Omega Timing (2018)</t>
  </si>
  <si>
    <t xml:space="preserve">HS Elite Example</t>
  </si>
  <si>
    <t xml:space="preserve">2024-06-01</t>
  </si>
  <si>
    <t xml:space="preserve">State Championships</t>
  </si>
  <si>
    <t xml:space="preserve">HS Elite</t>
  </si>
  <si>
    <t xml:space="preserve">Example</t>
  </si>
  <si>
    <t xml:space="preserve">HS Varsity Example</t>
  </si>
  <si>
    <t xml:space="preserve">2024-05-01</t>
  </si>
  <si>
    <t xml:space="preserve">Conference Meet</t>
  </si>
  <si>
    <t xml:space="preserve">HS Varsity</t>
  </si>
  <si>
    <t xml:space="preserve">HS JV Example</t>
  </si>
  <si>
    <t xml:space="preserve">HS JV</t>
  </si>
  <si>
    <t xml:space="preserve">Recreational 25:00</t>
  </si>
  <si>
    <t xml:space="preserve">2024-01-01</t>
  </si>
  <si>
    <t xml:space="preserve">Parkrun</t>
  </si>
  <si>
    <t xml:space="preserve">Road</t>
  </si>
  <si>
    <t xml:space="preserve">Recreational</t>
  </si>
  <si>
    <t xml:space="preserve">Chebet, Beatrice</t>
  </si>
  <si>
    <t xml:space="preserve">2024-09-14</t>
  </si>
  <si>
    <t xml:space="preserve">Prefontaine Classic Eugene</t>
  </si>
  <si>
    <t xml:space="preserve">Omega Timing (2024)</t>
  </si>
  <si>
    <t xml:space="preserve">Tsegay, Gudaf</t>
  </si>
  <si>
    <t xml:space="preserve">2023-09-14</t>
  </si>
  <si>
    <t xml:space="preserve">Omega Timing (2023)</t>
  </si>
  <si>
    <t xml:space="preserve">Hassan, Sifan</t>
  </si>
  <si>
    <t xml:space="preserve">NED</t>
  </si>
  <si>
    <t xml:space="preserve">2021-06-06</t>
  </si>
  <si>
    <t xml:space="preserve">FBK Games Hengelo</t>
  </si>
  <si>
    <t xml:space="preserve">Kipyegon, Faith</t>
  </si>
  <si>
    <t xml:space="preserve">2024-06-07</t>
  </si>
  <si>
    <t xml:space="preserve">Dibaba, Tirunesh</t>
  </si>
  <si>
    <t xml:space="preserve">2008-06-06</t>
  </si>
  <si>
    <t xml:space="preserve">CROSS COUNTRY 5K PACING ADJUSTMENTS</t>
  </si>
  <si>
    <t xml:space="preserve">Factor</t>
  </si>
  <si>
    <t xml:space="preserve">Track Baseline</t>
  </si>
  <si>
    <t xml:space="preserve">XC Adjustment</t>
  </si>
  <si>
    <t xml:space="preserve">Notes</t>
  </si>
  <si>
    <t xml:space="preserve">Surface</t>
  </si>
  <si>
    <t xml:space="preserve">Synthetic track</t>
  </si>
  <si>
    <t xml:space="preserve">Grass/dirt/mud</t>
  </si>
  <si>
    <t xml:space="preserve">+3-8% slower depending on conditions</t>
  </si>
  <si>
    <t xml:space="preserve">Terrain</t>
  </si>
  <si>
    <t xml:space="preserve">Flat</t>
  </si>
  <si>
    <t xml:space="preserve">Hills (rolling/hilly)</t>
  </si>
  <si>
    <t xml:space="preserve">+5-15% on hilly courses; uphills cost more than downhills save</t>
  </si>
  <si>
    <t xml:space="preserve">Footing</t>
  </si>
  <si>
    <t xml:space="preserve">Perfect</t>
  </si>
  <si>
    <t xml:space="preserve">Variable</t>
  </si>
  <si>
    <t xml:space="preserve">+2-5% for soft/muddy conditions</t>
  </si>
  <si>
    <t xml:space="preserve">Turns</t>
  </si>
  <si>
    <t xml:space="preserve">Banked, wide</t>
  </si>
  <si>
    <t xml:space="preserve">Tight, unbanked</t>
  </si>
  <si>
    <t xml:space="preserve">+1-3% energy cost from sharp turns</t>
  </si>
  <si>
    <t xml:space="preserve">Weather</t>
  </si>
  <si>
    <t xml:space="preserve">Controlled</t>
  </si>
  <si>
    <t xml:space="preserve">Wind, rain, cold each add 1-3%; combined can add 5-10%</t>
  </si>
  <si>
    <t xml:space="preserve">Pacing Strategy</t>
  </si>
  <si>
    <t xml:space="preserve">Even splits</t>
  </si>
  <si>
    <t xml:space="preserve">Effort-based</t>
  </si>
  <si>
    <t xml:space="preserve">Run by EFFORT not pace on XC; GPS pace is misleading on hills</t>
  </si>
  <si>
    <t xml:space="preserve">Start</t>
  </si>
  <si>
    <t xml:space="preserve">Staggered lanes</t>
  </si>
  <si>
    <t xml:space="preserve">Mass start</t>
  </si>
  <si>
    <t xml:space="preserve">First 400m typically 5-10% faster due to positioning; budget for this</t>
  </si>
  <si>
    <t xml:space="preserve">TYPICAL XC TIME ADJUSTMENTS</t>
  </si>
  <si>
    <t xml:space="preserve">Track 5K Time</t>
  </si>
  <si>
    <t xml:space="preserve">Easy Course (+30-60s)</t>
  </si>
  <si>
    <t xml:space="preserve">Moderate Course (+60-90s)</t>
  </si>
  <si>
    <t xml:space="preserve">Hard Course (+90-150s)</t>
  </si>
  <si>
    <t xml:space="preserve">15:00</t>
  </si>
  <si>
    <t xml:space="preserve">15:30-16:00</t>
  </si>
  <si>
    <t xml:space="preserve">16:00-16:30</t>
  </si>
  <si>
    <t xml:space="preserve">16:30-17:30</t>
  </si>
  <si>
    <t xml:space="preserve">16:00</t>
  </si>
  <si>
    <t xml:space="preserve">16:30-17:00</t>
  </si>
  <si>
    <t xml:space="preserve">17:00-17:30</t>
  </si>
  <si>
    <t xml:space="preserve">17:30-18:30</t>
  </si>
  <si>
    <t xml:space="preserve">17:00</t>
  </si>
  <si>
    <t xml:space="preserve">17:30-18:00</t>
  </si>
  <si>
    <t xml:space="preserve">18:00-18:30</t>
  </si>
  <si>
    <t xml:space="preserve">18:30-19:30</t>
  </si>
  <si>
    <t xml:space="preserve">18:00</t>
  </si>
  <si>
    <t xml:space="preserve">18:30-19:00</t>
  </si>
  <si>
    <t xml:space="preserve">19:00-19:30</t>
  </si>
  <si>
    <t xml:space="preserve">19:30-20:30</t>
  </si>
  <si>
    <t xml:space="preserve">19:00</t>
  </si>
  <si>
    <t xml:space="preserve">19:30-20:00</t>
  </si>
  <si>
    <t xml:space="preserve">20:00-20:30</t>
  </si>
  <si>
    <t xml:space="preserve">20:30-21:30</t>
  </si>
  <si>
    <t xml:space="preserve">20:00</t>
  </si>
  <si>
    <t xml:space="preserve">20:30-21:00</t>
  </si>
  <si>
    <t xml:space="preserve">21:00-21:30</t>
  </si>
  <si>
    <t xml:space="preserve">21:30-22:30</t>
  </si>
  <si>
    <t xml:space="preserve">22:00</t>
  </si>
  <si>
    <t xml:space="preserve">22:30-23:00</t>
  </si>
  <si>
    <t xml:space="preserve">23:00-23:30</t>
  </si>
  <si>
    <t xml:space="preserve">23:30-25:00</t>
  </si>
  <si>
    <t xml:space="preserve">25:00</t>
  </si>
  <si>
    <t xml:space="preserve">25:45-26:15</t>
  </si>
  <si>
    <t xml:space="preserve">26:15-27:00</t>
  </si>
  <si>
    <t xml:space="preserve">27:00-28:45</t>
  </si>
  <si>
    <t xml:space="preserve">Performance Level</t>
  </si>
  <si>
    <t xml:space="preserve">Gender</t>
  </si>
  <si>
    <t xml:space="preserve">Target Time (s)</t>
  </si>
  <si>
    <t xml:space="preserve">% 0-1K</t>
  </si>
  <si>
    <t xml:space="preserve">% 1-2K</t>
  </si>
  <si>
    <t xml:space="preserve">% 2-3K</t>
  </si>
  <si>
    <t xml:space="preserve">% 3-4K</t>
  </si>
  <si>
    <t xml:space="preserve">% 4-5K</t>
  </si>
  <si>
    <t xml:space="preserve">0-1K Target</t>
  </si>
  <si>
    <t xml:space="preserve">1-2K Target</t>
  </si>
  <si>
    <t xml:space="preserve">2-3K Target</t>
  </si>
  <si>
    <t xml:space="preserve">3-4K Target</t>
  </si>
  <si>
    <t xml:space="preserve">4-5K Target</t>
  </si>
  <si>
    <t xml:space="preserve">World Record</t>
  </si>
  <si>
    <t xml:space="preserve">Male</t>
  </si>
  <si>
    <t xml:space="preserve">World Class (13:00-13:30)</t>
  </si>
  <si>
    <t xml:space="preserve">Elite (13:30-14:30)</t>
  </si>
  <si>
    <t xml:space="preserve">Sub-Elite (14:30-16:00)</t>
  </si>
  <si>
    <t xml:space="preserve">Collegiate (14:00-15:30)</t>
  </si>
  <si>
    <t xml:space="preserve">HS Varsity (16:00-18:00)</t>
  </si>
  <si>
    <t xml:space="preserve">HS JV (18:00-22:00)</t>
  </si>
  <si>
    <t xml:space="preserve">Recreational (22:00-30:00)</t>
  </si>
  <si>
    <t xml:space="preserve">Female</t>
  </si>
  <si>
    <t xml:space="preserve">World Class (14:30-15:30)</t>
  </si>
  <si>
    <t xml:space="preserve">Elite (15:30-16:30)</t>
  </si>
  <si>
    <t xml:space="preserve">Sub-Elite (16:30-18:00)</t>
  </si>
  <si>
    <t xml:space="preserve">Collegiate (16:00-19:00)</t>
  </si>
  <si>
    <t xml:space="preserve">HS Varsity (19:00-23:00)</t>
  </si>
  <si>
    <t xml:space="preserve">HS JV (23:00-30:00)</t>
  </si>
  <si>
    <t xml:space="preserve">5K PACE CALCULATOR (Track &amp; XC)</t>
  </si>
  <si>
    <t xml:space="preserve">Enter Target Time (seconds):</t>
  </si>
  <si>
    <t xml:space="preserve">Gender (M or F):</t>
  </si>
  <si>
    <t xml:space="preserve">M</t>
  </si>
  <si>
    <t xml:space="preserve">Surface (Track or XC):</t>
  </si>
  <si>
    <t xml:space="preserve">RECOMMENDED SPLITS</t>
  </si>
  <si>
    <t xml:space="preserve">Kilometer</t>
  </si>
  <si>
    <t xml:space="preserve">Split Time (s)</t>
  </si>
  <si>
    <t xml:space="preserve">Cumulative (s)</t>
  </si>
  <si>
    <t xml:space="preserve">Pace/km (s)</t>
  </si>
  <si>
    <t xml:space="preserve">Pace/mile (s)</t>
  </si>
  <si>
    <t xml:space="preserve">1 km</t>
  </si>
  <si>
    <t xml:space="preserve">2 km</t>
  </si>
  <si>
    <t xml:space="preserve">3 km</t>
  </si>
  <si>
    <t xml:space="preserve">4 km</t>
  </si>
  <si>
    <t xml:space="preserve">5 km</t>
  </si>
  <si>
    <t xml:space="preserve">TOTAL</t>
  </si>
  <si>
    <t xml:space="preserve">Avg per km</t>
  </si>
  <si>
    <t xml:space="preserve">Avg per mile</t>
  </si>
  <si>
    <t xml:space="preserve">Avg per 400m</t>
  </si>
  <si>
    <t xml:space="preserve">DATA SOURCES &amp; METHODOLOGY</t>
  </si>
  <si>
    <t xml:space="preserve">Primary</t>
  </si>
  <si>
    <t xml:space="preserve">Official results and split data from major championships</t>
  </si>
  <si>
    <t xml:space="preserve">Omega Timing</t>
  </si>
  <si>
    <t xml:space="preserve">Diamond League electronic timing and 1km split data</t>
  </si>
  <si>
    <t xml:space="preserve">Academic</t>
  </si>
  <si>
    <t xml:space="preserve">Tucker, Lambert &amp; Noakes (2006)</t>
  </si>
  <si>
    <t xml:space="preserve">Pacing during world records, Med Sci Sports Exerc 38(10)</t>
  </si>
  <si>
    <t xml:space="preserve">Hanley (2014)</t>
  </si>
  <si>
    <t xml:space="preserve">Pacing in 5000m and 10000m at major championships</t>
  </si>
  <si>
    <t xml:space="preserve">NOTES ON 5K PACING</t>
  </si>
  <si>
    <t xml:space="preserve">Cheptegei WR used Wavelight pacing technology - near-perfectly even splits</t>
  </si>
  <si>
    <t xml:space="preserve">Even pacing (same time per km) is optimal for 5K on flat track</t>
  </si>
  <si>
    <t xml:space="preserve">XC courses require effort-based pacing, not split-based pacing</t>
  </si>
  <si>
    <t xml:space="preserve">Add 5-15% to track time for XC depending on course difficulty (see XC Adjustments tab)</t>
  </si>
  <si>
    <t xml:space="preserve">The "go out fast, hold on" approach is suboptimal; it wastes glycogen early</t>
  </si>
  <si>
    <t xml:space="preserve">HS athletes commonly positive-split by 15-30s; teaching even pacing is transformative</t>
  </si>
  <si>
    <t xml:space="preserve">5K is ~95% aerobic / 5% anaerobic; LT pace is critical training zone</t>
  </si>
  <si>
    <t xml:space="preserve">Final 1K kick: elites can drop ~2-3s/km; HS athletes should aim for just holding pace</t>
  </si>
  <si>
    <t xml:space="preserve">Road 5K may be faster than track due to tangent running and pace groups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</si>
</sst>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2F5496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6E4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32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6"/>
    <col collapsed="false" customWidth="true" hidden="false" outlineLevel="0" max="13" min="9" style="0" width="10"/>
    <col collapsed="false" customWidth="true" hidden="false" outlineLevel="0" max="15" min="14" style="0" width="11"/>
    <col collapsed="false" customWidth="true" hidden="false" outlineLevel="0" max="16" min="16" style="0" width="12"/>
    <col collapsed="false" customWidth="true" hidden="false" outlineLevel="0" max="18" min="17" style="0" width="10"/>
    <col collapsed="false" customWidth="true" hidden="false" outlineLevel="0" max="19" min="19" style="0" width="30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2" t="s">
        <v>19</v>
      </c>
      <c r="B2" s="2" t="s">
        <v>20</v>
      </c>
      <c r="C2" s="3" t="n">
        <v>1996</v>
      </c>
      <c r="D2" s="3" t="s">
        <v>21</v>
      </c>
      <c r="E2" s="3" t="s">
        <v>22</v>
      </c>
      <c r="F2" s="3" t="s">
        <v>23</v>
      </c>
      <c r="G2" s="3" t="n">
        <v>755.36</v>
      </c>
      <c r="H2" s="3" t="n">
        <v>1</v>
      </c>
      <c r="I2" s="3" t="n">
        <v>152.67</v>
      </c>
      <c r="J2" s="3" t="n">
        <v>151.06</v>
      </c>
      <c r="K2" s="3" t="n">
        <v>151.41</v>
      </c>
      <c r="L2" s="3" t="n">
        <v>150.32</v>
      </c>
      <c r="M2" s="3" t="n">
        <v>149.9</v>
      </c>
      <c r="N2" s="3" t="n">
        <f aca="false">I2+J2+K2*0.5</f>
        <v>379.435</v>
      </c>
      <c r="O2" s="3" t="n">
        <f aca="false">K2*0.5+L2+M2</f>
        <v>375.925</v>
      </c>
      <c r="P2" s="3" t="n">
        <f aca="false">O2-N2</f>
        <v>-3.51000000000005</v>
      </c>
      <c r="Q2" s="3" t="n">
        <f aca="false">IF(G2&lt;&gt;"",G2/5,"")</f>
        <v>151.072</v>
      </c>
      <c r="R2" s="3" t="s">
        <v>24</v>
      </c>
      <c r="S2" s="3" t="s">
        <v>25</v>
      </c>
    </row>
    <row r="3" customFormat="false" ht="15" hidden="false" customHeight="false" outlineLevel="0" collapsed="false">
      <c r="A3" s="2" t="s">
        <v>26</v>
      </c>
      <c r="B3" s="2" t="s">
        <v>27</v>
      </c>
      <c r="C3" s="3" t="n">
        <v>1982</v>
      </c>
      <c r="D3" s="3" t="s">
        <v>28</v>
      </c>
      <c r="E3" s="3" t="s">
        <v>29</v>
      </c>
      <c r="F3" s="3" t="s">
        <v>23</v>
      </c>
      <c r="G3" s="3" t="n">
        <v>757.35</v>
      </c>
      <c r="H3" s="3" t="n">
        <v>1</v>
      </c>
      <c r="I3" s="3" t="n">
        <v>153</v>
      </c>
      <c r="J3" s="3" t="n">
        <v>151.35</v>
      </c>
      <c r="K3" s="3" t="n">
        <v>151.5</v>
      </c>
      <c r="L3" s="3" t="n">
        <v>150.5</v>
      </c>
      <c r="M3" s="3" t="n">
        <v>151</v>
      </c>
      <c r="N3" s="3" t="n">
        <f aca="false">I3+J3+K3*0.5</f>
        <v>380.1</v>
      </c>
      <c r="O3" s="3" t="n">
        <f aca="false">K3*0.5+L3+M3</f>
        <v>377.25</v>
      </c>
      <c r="P3" s="3" t="n">
        <f aca="false">O3-N3</f>
        <v>-2.85000000000002</v>
      </c>
      <c r="Q3" s="3" t="n">
        <f aca="false">IF(G3&lt;&gt;"",G3/5,"")</f>
        <v>151.47</v>
      </c>
      <c r="R3" s="3" t="s">
        <v>24</v>
      </c>
      <c r="S3" s="3" t="s">
        <v>30</v>
      </c>
    </row>
    <row r="4" customFormat="false" ht="15" hidden="false" customHeight="false" outlineLevel="0" collapsed="false">
      <c r="A4" s="2" t="s">
        <v>31</v>
      </c>
      <c r="B4" s="2" t="s">
        <v>32</v>
      </c>
      <c r="C4" s="3" t="n">
        <v>2000</v>
      </c>
      <c r="D4" s="3" t="s">
        <v>33</v>
      </c>
      <c r="E4" s="3" t="s">
        <v>34</v>
      </c>
      <c r="F4" s="3" t="s">
        <v>23</v>
      </c>
      <c r="G4" s="3" t="n">
        <v>793.66</v>
      </c>
      <c r="H4" s="3" t="n">
        <v>1</v>
      </c>
      <c r="I4" s="3" t="n">
        <v>159</v>
      </c>
      <c r="J4" s="3" t="n">
        <v>159</v>
      </c>
      <c r="K4" s="3" t="n">
        <v>158.5</v>
      </c>
      <c r="L4" s="3" t="n">
        <v>158.16</v>
      </c>
      <c r="M4" s="3" t="n">
        <v>159</v>
      </c>
      <c r="N4" s="3" t="n">
        <f aca="false">I4+J4+K4*0.5</f>
        <v>397.25</v>
      </c>
      <c r="O4" s="3" t="n">
        <f aca="false">K4*0.5+L4+M4</f>
        <v>396.41</v>
      </c>
      <c r="P4" s="3" t="n">
        <f aca="false">O4-N4</f>
        <v>-0.840000000000032</v>
      </c>
      <c r="Q4" s="3" t="n">
        <f aca="false">IF(G4&lt;&gt;"",G4/5,"")</f>
        <v>158.732</v>
      </c>
      <c r="R4" s="3" t="s">
        <v>35</v>
      </c>
      <c r="S4" s="3" t="s">
        <v>36</v>
      </c>
    </row>
    <row r="5" customFormat="false" ht="15" hidden="false" customHeight="false" outlineLevel="0" collapsed="false">
      <c r="A5" s="2" t="s">
        <v>19</v>
      </c>
      <c r="B5" s="2" t="s">
        <v>20</v>
      </c>
      <c r="C5" s="3" t="n">
        <v>1996</v>
      </c>
      <c r="D5" s="3" t="s">
        <v>37</v>
      </c>
      <c r="E5" s="3" t="s">
        <v>38</v>
      </c>
      <c r="F5" s="3" t="s">
        <v>39</v>
      </c>
      <c r="G5" s="3"/>
      <c r="H5" s="3" t="n">
        <v>1</v>
      </c>
      <c r="I5" s="3"/>
      <c r="J5" s="3"/>
      <c r="K5" s="3"/>
      <c r="L5" s="3"/>
      <c r="M5" s="3"/>
      <c r="N5" s="3" t="n">
        <f aca="false">I5+J5+K5*0.5</f>
        <v>0</v>
      </c>
      <c r="O5" s="3" t="n">
        <f aca="false">K5*0.5+L5+M5</f>
        <v>0</v>
      </c>
      <c r="P5" s="3" t="n">
        <f aca="false">O5-N5</f>
        <v>0</v>
      </c>
      <c r="Q5" s="3" t="str">
        <f aca="false">IF(G5&lt;&gt;"",G5/5,"")</f>
        <v/>
      </c>
      <c r="R5" s="3" t="s">
        <v>40</v>
      </c>
      <c r="S5" s="3" t="s">
        <v>41</v>
      </c>
    </row>
    <row r="6" customFormat="false" ht="15" hidden="false" customHeight="false" outlineLevel="0" collapsed="false">
      <c r="A6" s="2" t="s">
        <v>42</v>
      </c>
      <c r="B6" s="2" t="s">
        <v>43</v>
      </c>
      <c r="C6" s="3" t="n">
        <v>1997</v>
      </c>
      <c r="D6" s="3" t="s">
        <v>33</v>
      </c>
      <c r="E6" s="3" t="s">
        <v>34</v>
      </c>
      <c r="F6" s="3" t="s">
        <v>23</v>
      </c>
      <c r="G6" s="3" t="n">
        <v>797.15</v>
      </c>
      <c r="H6" s="3" t="n">
        <v>3</v>
      </c>
      <c r="I6" s="3" t="n">
        <v>159.5</v>
      </c>
      <c r="J6" s="3" t="n">
        <v>159.5</v>
      </c>
      <c r="K6" s="3" t="n">
        <v>159</v>
      </c>
      <c r="L6" s="3" t="n">
        <v>159.5</v>
      </c>
      <c r="M6" s="3" t="n">
        <v>159.65</v>
      </c>
      <c r="N6" s="3" t="n">
        <f aca="false">I6+J6+K6*0.5</f>
        <v>398.5</v>
      </c>
      <c r="O6" s="3" t="n">
        <f aca="false">K6*0.5+L6+M6</f>
        <v>398.65</v>
      </c>
      <c r="P6" s="3" t="n">
        <f aca="false">O6-N6</f>
        <v>0.149999999999977</v>
      </c>
      <c r="Q6" s="3" t="n">
        <f aca="false">IF(G6&lt;&gt;"",G6/5,"")</f>
        <v>159.43</v>
      </c>
      <c r="R6" s="3" t="s">
        <v>44</v>
      </c>
      <c r="S6" s="3" t="s">
        <v>36</v>
      </c>
    </row>
    <row r="7" customFormat="false" ht="15" hidden="false" customHeight="false" outlineLevel="0" collapsed="false">
      <c r="A7" s="2" t="s">
        <v>45</v>
      </c>
      <c r="B7" s="2" t="s">
        <v>46</v>
      </c>
      <c r="C7" s="3" t="n">
        <v>1995</v>
      </c>
      <c r="D7" s="3" t="s">
        <v>21</v>
      </c>
      <c r="E7" s="3" t="s">
        <v>22</v>
      </c>
      <c r="F7" s="3" t="s">
        <v>23</v>
      </c>
      <c r="G7" s="3" t="n">
        <v>759.91</v>
      </c>
      <c r="H7" s="3" t="n">
        <v>2</v>
      </c>
      <c r="I7" s="3" t="n">
        <v>153</v>
      </c>
      <c r="J7" s="3" t="n">
        <v>151.5</v>
      </c>
      <c r="K7" s="3" t="n">
        <v>152</v>
      </c>
      <c r="L7" s="3" t="n">
        <v>151.41</v>
      </c>
      <c r="M7" s="3" t="n">
        <v>152</v>
      </c>
      <c r="N7" s="3" t="n">
        <f aca="false">I7+J7+K7*0.5</f>
        <v>380.5</v>
      </c>
      <c r="O7" s="3" t="n">
        <f aca="false">K7*0.5+L7+M7</f>
        <v>379.41</v>
      </c>
      <c r="P7" s="3" t="n">
        <f aca="false">O7-N7</f>
        <v>-1.09000000000003</v>
      </c>
      <c r="Q7" s="3" t="n">
        <f aca="false">IF(G7&lt;&gt;"",G7/5,"")</f>
        <v>151.982</v>
      </c>
      <c r="R7" s="3" t="s">
        <v>47</v>
      </c>
      <c r="S7" s="3" t="s">
        <v>48</v>
      </c>
    </row>
    <row r="8" customFormat="false" ht="15" hidden="false" customHeight="false" outlineLevel="0" collapsed="false">
      <c r="A8" s="2" t="s">
        <v>49</v>
      </c>
      <c r="B8" s="2" t="s">
        <v>27</v>
      </c>
      <c r="C8" s="3" t="n">
        <v>2000</v>
      </c>
      <c r="D8" s="3" t="s">
        <v>50</v>
      </c>
      <c r="E8" s="3" t="s">
        <v>51</v>
      </c>
      <c r="F8" s="3" t="s">
        <v>23</v>
      </c>
      <c r="G8" s="3" t="n">
        <v>779.86</v>
      </c>
      <c r="H8" s="3" t="n">
        <v>1</v>
      </c>
      <c r="I8" s="3" t="n">
        <v>157</v>
      </c>
      <c r="J8" s="3" t="n">
        <v>155</v>
      </c>
      <c r="K8" s="3" t="n">
        <v>155.5</v>
      </c>
      <c r="L8" s="3" t="n">
        <v>155.86</v>
      </c>
      <c r="M8" s="3" t="n">
        <v>156.5</v>
      </c>
      <c r="N8" s="3" t="n">
        <f aca="false">I8+J8+K8*0.5</f>
        <v>389.75</v>
      </c>
      <c r="O8" s="3" t="n">
        <f aca="false">K8*0.5+L8+M8</f>
        <v>390.11</v>
      </c>
      <c r="P8" s="3" t="n">
        <f aca="false">O8-N8</f>
        <v>0.360000000000014</v>
      </c>
      <c r="Q8" s="3" t="n">
        <f aca="false">IF(G8&lt;&gt;"",G8/5,"")</f>
        <v>155.972</v>
      </c>
      <c r="R8" s="3" t="s">
        <v>47</v>
      </c>
      <c r="S8" s="3" t="s">
        <v>52</v>
      </c>
    </row>
    <row r="9" customFormat="false" ht="15" hidden="false" customHeight="false" outlineLevel="0" collapsed="false">
      <c r="A9" s="2" t="s">
        <v>53</v>
      </c>
      <c r="B9" s="2" t="s">
        <v>27</v>
      </c>
      <c r="C9" s="3" t="n">
        <v>1997</v>
      </c>
      <c r="D9" s="3" t="s">
        <v>54</v>
      </c>
      <c r="E9" s="3" t="s">
        <v>55</v>
      </c>
      <c r="F9" s="3" t="s">
        <v>23</v>
      </c>
      <c r="G9" s="3" t="n">
        <v>763.02</v>
      </c>
      <c r="H9" s="3" t="n">
        <v>2</v>
      </c>
      <c r="I9" s="3" t="n">
        <v>153.5</v>
      </c>
      <c r="J9" s="3" t="n">
        <v>152.5</v>
      </c>
      <c r="K9" s="3" t="n">
        <v>152.5</v>
      </c>
      <c r="L9" s="3" t="n">
        <v>152.02</v>
      </c>
      <c r="M9" s="3" t="n">
        <v>152.5</v>
      </c>
      <c r="N9" s="3" t="n">
        <f aca="false">I9+J9+K9*0.5</f>
        <v>382.25</v>
      </c>
      <c r="O9" s="3" t="n">
        <f aca="false">K9*0.5+L9+M9</f>
        <v>380.77</v>
      </c>
      <c r="P9" s="3" t="n">
        <f aca="false">O9-N9</f>
        <v>-1.48000000000002</v>
      </c>
      <c r="Q9" s="3" t="n">
        <f aca="false">IF(G9&lt;&gt;"",G9/5,"")</f>
        <v>152.604</v>
      </c>
      <c r="R9" s="3" t="s">
        <v>47</v>
      </c>
      <c r="S9" s="3" t="s">
        <v>56</v>
      </c>
    </row>
    <row r="10" customFormat="false" ht="15" hidden="false" customHeight="false" outlineLevel="0" collapsed="false">
      <c r="A10" s="2" t="s">
        <v>57</v>
      </c>
      <c r="B10" s="2" t="s">
        <v>43</v>
      </c>
      <c r="C10" s="3" t="n">
        <v>2005</v>
      </c>
      <c r="D10" s="3" t="s">
        <v>58</v>
      </c>
      <c r="E10" s="3" t="s">
        <v>59</v>
      </c>
      <c r="F10" s="3" t="s">
        <v>23</v>
      </c>
      <c r="G10" s="3" t="n">
        <v>870</v>
      </c>
      <c r="H10" s="3" t="n">
        <v>1</v>
      </c>
      <c r="I10" s="3" t="n">
        <v>172</v>
      </c>
      <c r="J10" s="3" t="n">
        <v>173</v>
      </c>
      <c r="K10" s="3" t="n">
        <v>174</v>
      </c>
      <c r="L10" s="3" t="n">
        <v>175</v>
      </c>
      <c r="M10" s="3" t="n">
        <v>176</v>
      </c>
      <c r="N10" s="3" t="n">
        <f aca="false">I10+J10+K10*0.5</f>
        <v>432</v>
      </c>
      <c r="O10" s="3" t="n">
        <f aca="false">K10*0.5+L10+M10</f>
        <v>438</v>
      </c>
      <c r="P10" s="3" t="n">
        <f aca="false">O10-N10</f>
        <v>6</v>
      </c>
      <c r="Q10" s="3" t="n">
        <f aca="false">IF(G10&lt;&gt;"",G10/5,"")</f>
        <v>174</v>
      </c>
      <c r="R10" s="3" t="s">
        <v>60</v>
      </c>
      <c r="S10" s="3" t="s">
        <v>61</v>
      </c>
    </row>
    <row r="11" customFormat="false" ht="15" hidden="false" customHeight="false" outlineLevel="0" collapsed="false">
      <c r="A11" s="2" t="s">
        <v>62</v>
      </c>
      <c r="B11" s="2" t="s">
        <v>43</v>
      </c>
      <c r="C11" s="3" t="n">
        <v>2006</v>
      </c>
      <c r="D11" s="3" t="s">
        <v>63</v>
      </c>
      <c r="E11" s="3" t="s">
        <v>64</v>
      </c>
      <c r="F11" s="3" t="s">
        <v>23</v>
      </c>
      <c r="G11" s="3" t="n">
        <v>1020</v>
      </c>
      <c r="H11" s="3" t="n">
        <v>1</v>
      </c>
      <c r="I11" s="3" t="n">
        <v>200</v>
      </c>
      <c r="J11" s="3" t="n">
        <v>203</v>
      </c>
      <c r="K11" s="3" t="n">
        <v>205</v>
      </c>
      <c r="L11" s="3" t="n">
        <v>206</v>
      </c>
      <c r="M11" s="3" t="n">
        <v>206</v>
      </c>
      <c r="N11" s="3" t="n">
        <f aca="false">I11+J11+K11*0.5</f>
        <v>505.5</v>
      </c>
      <c r="O11" s="3" t="n">
        <f aca="false">K11*0.5+L11+M11</f>
        <v>514.5</v>
      </c>
      <c r="P11" s="3" t="n">
        <f aca="false">O11-N11</f>
        <v>9</v>
      </c>
      <c r="Q11" s="3" t="n">
        <f aca="false">IF(G11&lt;&gt;"",G11/5,"")</f>
        <v>204</v>
      </c>
      <c r="R11" s="3" t="s">
        <v>65</v>
      </c>
      <c r="S11" s="3" t="s">
        <v>61</v>
      </c>
    </row>
    <row r="12" customFormat="false" ht="15" hidden="false" customHeight="false" outlineLevel="0" collapsed="false">
      <c r="A12" s="2" t="s">
        <v>66</v>
      </c>
      <c r="B12" s="2" t="s">
        <v>43</v>
      </c>
      <c r="C12" s="3" t="n">
        <v>2007</v>
      </c>
      <c r="D12" s="3" t="s">
        <v>63</v>
      </c>
      <c r="E12" s="3" t="s">
        <v>64</v>
      </c>
      <c r="F12" s="3" t="s">
        <v>23</v>
      </c>
      <c r="G12" s="3" t="n">
        <v>1200</v>
      </c>
      <c r="H12" s="3" t="n">
        <v>1</v>
      </c>
      <c r="I12" s="3" t="n">
        <v>234</v>
      </c>
      <c r="J12" s="3" t="n">
        <v>238</v>
      </c>
      <c r="K12" s="3" t="n">
        <v>240</v>
      </c>
      <c r="L12" s="3" t="n">
        <v>244</v>
      </c>
      <c r="M12" s="3" t="n">
        <v>244</v>
      </c>
      <c r="N12" s="3" t="n">
        <f aca="false">I12+J12+K12*0.5</f>
        <v>592</v>
      </c>
      <c r="O12" s="3" t="n">
        <f aca="false">K12*0.5+L12+M12</f>
        <v>608</v>
      </c>
      <c r="P12" s="3" t="n">
        <f aca="false">O12-N12</f>
        <v>16</v>
      </c>
      <c r="Q12" s="3" t="n">
        <f aca="false">IF(G12&lt;&gt;"",G12/5,"")</f>
        <v>240</v>
      </c>
      <c r="R12" s="3" t="s">
        <v>67</v>
      </c>
      <c r="S12" s="3" t="s">
        <v>61</v>
      </c>
    </row>
    <row r="13" customFormat="false" ht="23.85" hidden="false" customHeight="false" outlineLevel="0" collapsed="false">
      <c r="A13" s="2" t="s">
        <v>68</v>
      </c>
      <c r="B13" s="2" t="s">
        <v>43</v>
      </c>
      <c r="C13" s="3"/>
      <c r="D13" s="3" t="s">
        <v>69</v>
      </c>
      <c r="E13" s="3" t="s">
        <v>70</v>
      </c>
      <c r="F13" s="3" t="s">
        <v>71</v>
      </c>
      <c r="G13" s="3" t="n">
        <v>1500</v>
      </c>
      <c r="H13" s="3"/>
      <c r="I13" s="3" t="n">
        <v>295</v>
      </c>
      <c r="J13" s="3" t="n">
        <v>298</v>
      </c>
      <c r="K13" s="3" t="n">
        <v>302</v>
      </c>
      <c r="L13" s="3" t="n">
        <v>305</v>
      </c>
      <c r="M13" s="3" t="n">
        <v>300</v>
      </c>
      <c r="N13" s="3" t="n">
        <f aca="false">I13+J13+K13*0.5</f>
        <v>744</v>
      </c>
      <c r="O13" s="3" t="n">
        <f aca="false">K13*0.5+L13+M13</f>
        <v>756</v>
      </c>
      <c r="P13" s="3" t="n">
        <f aca="false">O13-N13</f>
        <v>12</v>
      </c>
      <c r="Q13" s="3" t="n">
        <f aca="false">IF(G13&lt;&gt;"",G13/5,"")</f>
        <v>300</v>
      </c>
      <c r="R13" s="3" t="s">
        <v>72</v>
      </c>
      <c r="S13" s="3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32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6"/>
    <col collapsed="false" customWidth="true" hidden="false" outlineLevel="0" max="13" min="9" style="0" width="10"/>
    <col collapsed="false" customWidth="true" hidden="false" outlineLevel="0" max="15" min="14" style="0" width="11"/>
    <col collapsed="false" customWidth="true" hidden="false" outlineLevel="0" max="16" min="16" style="0" width="12"/>
    <col collapsed="false" customWidth="true" hidden="false" outlineLevel="0" max="18" min="17" style="0" width="10"/>
    <col collapsed="false" customWidth="true" hidden="false" outlineLevel="0" max="19" min="19" style="0" width="30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2" t="s">
        <v>73</v>
      </c>
      <c r="B2" s="2" t="s">
        <v>46</v>
      </c>
      <c r="C2" s="3" t="n">
        <v>1999</v>
      </c>
      <c r="D2" s="3" t="s">
        <v>74</v>
      </c>
      <c r="E2" s="3" t="s">
        <v>75</v>
      </c>
      <c r="F2" s="3" t="s">
        <v>23</v>
      </c>
      <c r="G2" s="3" t="n">
        <v>838.06</v>
      </c>
      <c r="H2" s="3" t="n">
        <v>1</v>
      </c>
      <c r="I2" s="3" t="n">
        <v>167</v>
      </c>
      <c r="J2" s="3" t="n">
        <v>167.5</v>
      </c>
      <c r="K2" s="3" t="n">
        <v>168</v>
      </c>
      <c r="L2" s="3" t="n">
        <v>167.56</v>
      </c>
      <c r="M2" s="3" t="n">
        <v>168</v>
      </c>
      <c r="N2" s="3" t="n">
        <f aca="false">I2+J2+K2*0.5</f>
        <v>418.5</v>
      </c>
      <c r="O2" s="3" t="n">
        <f aca="false">K2*0.5+L2+M2</f>
        <v>419.56</v>
      </c>
      <c r="P2" s="3" t="n">
        <f aca="false">O2-N2</f>
        <v>1.06</v>
      </c>
      <c r="Q2" s="3" t="n">
        <f aca="false">IF(G2&lt;&gt;"",G2/5,"")</f>
        <v>167.612</v>
      </c>
      <c r="R2" s="3" t="s">
        <v>24</v>
      </c>
      <c r="S2" s="3" t="s">
        <v>76</v>
      </c>
    </row>
    <row r="3" customFormat="false" ht="15" hidden="false" customHeight="false" outlineLevel="0" collapsed="false">
      <c r="A3" s="2" t="s">
        <v>77</v>
      </c>
      <c r="B3" s="2" t="s">
        <v>27</v>
      </c>
      <c r="C3" s="3" t="n">
        <v>1997</v>
      </c>
      <c r="D3" s="3" t="s">
        <v>78</v>
      </c>
      <c r="E3" s="3" t="s">
        <v>55</v>
      </c>
      <c r="F3" s="3" t="s">
        <v>23</v>
      </c>
      <c r="G3" s="3" t="n">
        <v>840.21</v>
      </c>
      <c r="H3" s="3" t="n">
        <v>1</v>
      </c>
      <c r="I3" s="3" t="n">
        <v>167.5</v>
      </c>
      <c r="J3" s="3" t="n">
        <v>168</v>
      </c>
      <c r="K3" s="3" t="n">
        <v>168.5</v>
      </c>
      <c r="L3" s="3" t="n">
        <v>168.21</v>
      </c>
      <c r="M3" s="3" t="n">
        <v>168</v>
      </c>
      <c r="N3" s="3" t="n">
        <f aca="false">I3+J3+K3*0.5</f>
        <v>419.75</v>
      </c>
      <c r="O3" s="3" t="n">
        <f aca="false">K3*0.5+L3+M3</f>
        <v>420.46</v>
      </c>
      <c r="P3" s="3" t="n">
        <f aca="false">O3-N3</f>
        <v>0.710000000000036</v>
      </c>
      <c r="Q3" s="3" t="n">
        <f aca="false">IF(G3&lt;&gt;"",G3/5,"")</f>
        <v>168.042</v>
      </c>
      <c r="R3" s="3" t="s">
        <v>24</v>
      </c>
      <c r="S3" s="3" t="s">
        <v>79</v>
      </c>
    </row>
    <row r="4" customFormat="false" ht="15" hidden="false" customHeight="false" outlineLevel="0" collapsed="false">
      <c r="A4" s="2" t="s">
        <v>80</v>
      </c>
      <c r="B4" s="2" t="s">
        <v>81</v>
      </c>
      <c r="C4" s="3" t="n">
        <v>1993</v>
      </c>
      <c r="D4" s="3" t="s">
        <v>82</v>
      </c>
      <c r="E4" s="3" t="s">
        <v>83</v>
      </c>
      <c r="F4" s="3" t="s">
        <v>23</v>
      </c>
      <c r="G4" s="3" t="n">
        <v>845.96</v>
      </c>
      <c r="H4" s="3" t="n">
        <v>1</v>
      </c>
      <c r="I4" s="3" t="n">
        <v>168.5</v>
      </c>
      <c r="J4" s="3" t="n">
        <v>169</v>
      </c>
      <c r="K4" s="3" t="n">
        <v>169</v>
      </c>
      <c r="L4" s="3" t="n">
        <v>169.46</v>
      </c>
      <c r="M4" s="3" t="n">
        <v>170</v>
      </c>
      <c r="N4" s="3" t="n">
        <f aca="false">I4+J4+K4*0.5</f>
        <v>422</v>
      </c>
      <c r="O4" s="3" t="n">
        <f aca="false">K4*0.5+L4+M4</f>
        <v>423.96</v>
      </c>
      <c r="P4" s="3" t="n">
        <f aca="false">O4-N4</f>
        <v>1.96000000000004</v>
      </c>
      <c r="Q4" s="3" t="n">
        <f aca="false">IF(G4&lt;&gt;"",G4/5,"")</f>
        <v>169.192</v>
      </c>
      <c r="R4" s="3" t="s">
        <v>24</v>
      </c>
      <c r="S4" s="3" t="s">
        <v>52</v>
      </c>
    </row>
    <row r="5" customFormat="false" ht="15" hidden="false" customHeight="false" outlineLevel="0" collapsed="false">
      <c r="A5" s="2" t="s">
        <v>84</v>
      </c>
      <c r="B5" s="2" t="s">
        <v>46</v>
      </c>
      <c r="C5" s="3" t="n">
        <v>1994</v>
      </c>
      <c r="D5" s="3" t="s">
        <v>85</v>
      </c>
      <c r="E5" s="3" t="s">
        <v>75</v>
      </c>
      <c r="F5" s="3" t="s">
        <v>23</v>
      </c>
      <c r="G5" s="3" t="n">
        <v>850.72</v>
      </c>
      <c r="H5" s="3" t="n">
        <v>1</v>
      </c>
      <c r="I5" s="3" t="n">
        <v>169</v>
      </c>
      <c r="J5" s="3" t="n">
        <v>170</v>
      </c>
      <c r="K5" s="3" t="n">
        <v>170.5</v>
      </c>
      <c r="L5" s="3" t="n">
        <v>170.72</v>
      </c>
      <c r="M5" s="3" t="n">
        <v>170.5</v>
      </c>
      <c r="N5" s="3" t="n">
        <f aca="false">I5+J5+K5*0.5</f>
        <v>424.25</v>
      </c>
      <c r="O5" s="3" t="n">
        <f aca="false">K5*0.5+L5+M5</f>
        <v>426.47</v>
      </c>
      <c r="P5" s="3" t="n">
        <f aca="false">O5-N5</f>
        <v>2.22000000000003</v>
      </c>
      <c r="Q5" s="3" t="n">
        <f aca="false">IF(G5&lt;&gt;"",G5/5,"")</f>
        <v>170.144</v>
      </c>
      <c r="R5" s="3" t="s">
        <v>47</v>
      </c>
      <c r="S5" s="3" t="s">
        <v>76</v>
      </c>
    </row>
    <row r="6" customFormat="false" ht="15" hidden="false" customHeight="false" outlineLevel="0" collapsed="false">
      <c r="A6" s="2" t="s">
        <v>86</v>
      </c>
      <c r="B6" s="2" t="s">
        <v>27</v>
      </c>
      <c r="C6" s="3" t="n">
        <v>1985</v>
      </c>
      <c r="D6" s="3" t="s">
        <v>87</v>
      </c>
      <c r="E6" s="3" t="s">
        <v>83</v>
      </c>
      <c r="F6" s="3" t="s">
        <v>23</v>
      </c>
      <c r="G6" s="3" t="n">
        <v>856.15</v>
      </c>
      <c r="H6" s="3" t="n">
        <v>1</v>
      </c>
      <c r="I6" s="3" t="n">
        <v>170</v>
      </c>
      <c r="J6" s="3" t="n">
        <v>171</v>
      </c>
      <c r="K6" s="3" t="n">
        <v>171.5</v>
      </c>
      <c r="L6" s="3" t="n">
        <v>172.15</v>
      </c>
      <c r="M6" s="3" t="n">
        <v>171.5</v>
      </c>
      <c r="N6" s="3" t="n">
        <f aca="false">I6+J6+K6*0.5</f>
        <v>426.75</v>
      </c>
      <c r="O6" s="3" t="n">
        <f aca="false">K6*0.5+L6+M6</f>
        <v>429.4</v>
      </c>
      <c r="P6" s="3" t="n">
        <f aca="false">O6-N6</f>
        <v>2.64999999999998</v>
      </c>
      <c r="Q6" s="3" t="n">
        <f aca="false">IF(G6&lt;&gt;"",G6/5,"")</f>
        <v>171.23</v>
      </c>
      <c r="R6" s="3" t="s">
        <v>24</v>
      </c>
      <c r="S6" s="3" t="s">
        <v>30</v>
      </c>
    </row>
    <row r="7" customFormat="false" ht="15" hidden="false" customHeight="false" outlineLevel="0" collapsed="false">
      <c r="A7" s="2" t="s">
        <v>57</v>
      </c>
      <c r="B7" s="2" t="s">
        <v>43</v>
      </c>
      <c r="C7" s="3" t="n">
        <v>2006</v>
      </c>
      <c r="D7" s="3" t="s">
        <v>58</v>
      </c>
      <c r="E7" s="3" t="s">
        <v>59</v>
      </c>
      <c r="F7" s="3" t="s">
        <v>23</v>
      </c>
      <c r="G7" s="3" t="n">
        <v>1020</v>
      </c>
      <c r="H7" s="3" t="n">
        <v>1</v>
      </c>
      <c r="I7" s="3" t="n">
        <v>200</v>
      </c>
      <c r="J7" s="3" t="n">
        <v>203</v>
      </c>
      <c r="K7" s="3" t="n">
        <v>205</v>
      </c>
      <c r="L7" s="3" t="n">
        <v>206</v>
      </c>
      <c r="M7" s="3" t="n">
        <v>206</v>
      </c>
      <c r="N7" s="3" t="n">
        <f aca="false">I7+J7+K7*0.5</f>
        <v>505.5</v>
      </c>
      <c r="O7" s="3" t="n">
        <f aca="false">K7*0.5+L7+M7</f>
        <v>514.5</v>
      </c>
      <c r="P7" s="3" t="n">
        <f aca="false">O7-N7</f>
        <v>9</v>
      </c>
      <c r="Q7" s="3" t="n">
        <f aca="false">IF(G7&lt;&gt;"",G7/5,"")</f>
        <v>204</v>
      </c>
      <c r="R7" s="3" t="s">
        <v>60</v>
      </c>
      <c r="S7" s="3" t="s">
        <v>61</v>
      </c>
    </row>
    <row r="8" customFormat="false" ht="15" hidden="false" customHeight="false" outlineLevel="0" collapsed="false">
      <c r="A8" s="2" t="s">
        <v>62</v>
      </c>
      <c r="B8" s="2" t="s">
        <v>43</v>
      </c>
      <c r="C8" s="3" t="n">
        <v>2007</v>
      </c>
      <c r="D8" s="3" t="s">
        <v>63</v>
      </c>
      <c r="E8" s="3" t="s">
        <v>64</v>
      </c>
      <c r="F8" s="3" t="s">
        <v>23</v>
      </c>
      <c r="G8" s="3" t="n">
        <v>1200</v>
      </c>
      <c r="H8" s="3" t="n">
        <v>1</v>
      </c>
      <c r="I8" s="3" t="n">
        <v>234</v>
      </c>
      <c r="J8" s="3" t="n">
        <v>238</v>
      </c>
      <c r="K8" s="3" t="n">
        <v>240</v>
      </c>
      <c r="L8" s="3" t="n">
        <v>244</v>
      </c>
      <c r="M8" s="3" t="n">
        <v>244</v>
      </c>
      <c r="N8" s="3" t="n">
        <f aca="false">I8+J8+K8*0.5</f>
        <v>592</v>
      </c>
      <c r="O8" s="3" t="n">
        <f aca="false">K8*0.5+L8+M8</f>
        <v>608</v>
      </c>
      <c r="P8" s="3" t="n">
        <f aca="false">O8-N8</f>
        <v>16</v>
      </c>
      <c r="Q8" s="3" t="n">
        <f aca="false">IF(G8&lt;&gt;"",G8/5,"")</f>
        <v>240</v>
      </c>
      <c r="R8" s="3" t="s">
        <v>65</v>
      </c>
      <c r="S8" s="3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26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4" t="s">
        <v>88</v>
      </c>
    </row>
    <row r="3" customFormat="false" ht="15" hidden="false" customHeight="false" outlineLevel="0" collapsed="false">
      <c r="A3" s="5" t="s">
        <v>89</v>
      </c>
      <c r="B3" s="5" t="s">
        <v>90</v>
      </c>
      <c r="C3" s="5" t="s">
        <v>91</v>
      </c>
      <c r="D3" s="5" t="s">
        <v>92</v>
      </c>
    </row>
    <row r="4" customFormat="false" ht="15" hidden="false" customHeight="false" outlineLevel="0" collapsed="false">
      <c r="A4" s="2" t="s">
        <v>93</v>
      </c>
      <c r="B4" s="2" t="s">
        <v>94</v>
      </c>
      <c r="C4" s="2" t="s">
        <v>95</v>
      </c>
      <c r="D4" s="2" t="s">
        <v>96</v>
      </c>
    </row>
    <row r="5" customFormat="false" ht="15" hidden="false" customHeight="false" outlineLevel="0" collapsed="false">
      <c r="A5" s="2" t="s">
        <v>97</v>
      </c>
      <c r="B5" s="2" t="s">
        <v>98</v>
      </c>
      <c r="C5" s="2" t="s">
        <v>99</v>
      </c>
      <c r="D5" s="2" t="s">
        <v>100</v>
      </c>
    </row>
    <row r="6" customFormat="false" ht="15" hidden="false" customHeight="false" outlineLevel="0" collapsed="false">
      <c r="A6" s="2" t="s">
        <v>101</v>
      </c>
      <c r="B6" s="2" t="s">
        <v>102</v>
      </c>
      <c r="C6" s="2" t="s">
        <v>103</v>
      </c>
      <c r="D6" s="2" t="s">
        <v>104</v>
      </c>
    </row>
    <row r="7" customFormat="false" ht="15" hidden="false" customHeight="false" outlineLevel="0" collapsed="false">
      <c r="A7" s="2" t="s">
        <v>105</v>
      </c>
      <c r="B7" s="2" t="s">
        <v>106</v>
      </c>
      <c r="C7" s="2" t="s">
        <v>107</v>
      </c>
      <c r="D7" s="2" t="s">
        <v>108</v>
      </c>
    </row>
    <row r="8" customFormat="false" ht="15" hidden="false" customHeight="false" outlineLevel="0" collapsed="false">
      <c r="A8" s="2" t="s">
        <v>109</v>
      </c>
      <c r="B8" s="2" t="s">
        <v>110</v>
      </c>
      <c r="C8" s="2" t="s">
        <v>103</v>
      </c>
      <c r="D8" s="2" t="s">
        <v>111</v>
      </c>
    </row>
    <row r="9" customFormat="false" ht="15" hidden="false" customHeight="false" outlineLevel="0" collapsed="false">
      <c r="A9" s="2" t="s">
        <v>112</v>
      </c>
      <c r="B9" s="2" t="s">
        <v>113</v>
      </c>
      <c r="C9" s="2" t="s">
        <v>114</v>
      </c>
      <c r="D9" s="2" t="s">
        <v>115</v>
      </c>
    </row>
    <row r="10" customFormat="false" ht="15" hidden="false" customHeight="false" outlineLevel="0" collapsed="false">
      <c r="A10" s="2" t="s">
        <v>116</v>
      </c>
      <c r="B10" s="2" t="s">
        <v>117</v>
      </c>
      <c r="C10" s="2" t="s">
        <v>118</v>
      </c>
      <c r="D10" s="2" t="s">
        <v>119</v>
      </c>
    </row>
    <row r="11" customFormat="false" ht="15" hidden="false" customHeight="false" outlineLevel="0" collapsed="false">
      <c r="A11" s="2"/>
      <c r="B11" s="2"/>
      <c r="C11" s="2"/>
      <c r="D11" s="2"/>
    </row>
    <row r="12" customFormat="false" ht="15" hidden="false" customHeight="false" outlineLevel="0" collapsed="false">
      <c r="A12" s="5" t="s">
        <v>120</v>
      </c>
      <c r="B12" s="5"/>
      <c r="C12" s="5"/>
      <c r="D12" s="5"/>
    </row>
    <row r="13" customFormat="false" ht="15" hidden="false" customHeight="false" outlineLevel="0" collapsed="false">
      <c r="A13" s="2" t="s">
        <v>121</v>
      </c>
      <c r="B13" s="2" t="s">
        <v>122</v>
      </c>
      <c r="C13" s="2" t="s">
        <v>123</v>
      </c>
      <c r="D13" s="2" t="s">
        <v>124</v>
      </c>
    </row>
    <row r="14" customFormat="false" ht="15" hidden="false" customHeight="false" outlineLevel="0" collapsed="false">
      <c r="A14" s="2" t="s">
        <v>125</v>
      </c>
      <c r="B14" s="2" t="s">
        <v>126</v>
      </c>
      <c r="C14" s="2" t="s">
        <v>127</v>
      </c>
      <c r="D14" s="2" t="s">
        <v>128</v>
      </c>
    </row>
    <row r="15" customFormat="false" ht="15" hidden="false" customHeight="false" outlineLevel="0" collapsed="false">
      <c r="A15" s="2" t="s">
        <v>129</v>
      </c>
      <c r="B15" s="2" t="s">
        <v>130</v>
      </c>
      <c r="C15" s="2" t="s">
        <v>131</v>
      </c>
      <c r="D15" s="2" t="s">
        <v>132</v>
      </c>
    </row>
    <row r="16" customFormat="false" ht="15" hidden="false" customHeight="false" outlineLevel="0" collapsed="false">
      <c r="A16" s="2" t="s">
        <v>133</v>
      </c>
      <c r="B16" s="2" t="s">
        <v>134</v>
      </c>
      <c r="C16" s="2" t="s">
        <v>135</v>
      </c>
      <c r="D16" s="2" t="s">
        <v>136</v>
      </c>
    </row>
    <row r="17" customFormat="false" ht="15" hidden="false" customHeight="false" outlineLevel="0" collapsed="false">
      <c r="A17" s="2" t="s">
        <v>137</v>
      </c>
      <c r="B17" s="2" t="s">
        <v>138</v>
      </c>
      <c r="C17" s="2" t="s">
        <v>139</v>
      </c>
      <c r="D17" s="2" t="s">
        <v>140</v>
      </c>
    </row>
    <row r="18" customFormat="false" ht="15" hidden="false" customHeight="false" outlineLevel="0" collapsed="false">
      <c r="A18" s="2" t="s">
        <v>141</v>
      </c>
      <c r="B18" s="2" t="s">
        <v>142</v>
      </c>
      <c r="C18" s="2" t="s">
        <v>143</v>
      </c>
      <c r="D18" s="2" t="s">
        <v>144</v>
      </c>
    </row>
    <row r="19" customFormat="false" ht="15" hidden="false" customHeight="false" outlineLevel="0" collapsed="false">
      <c r="A19" s="2" t="s">
        <v>145</v>
      </c>
      <c r="B19" s="2" t="s">
        <v>146</v>
      </c>
      <c r="C19" s="2" t="s">
        <v>147</v>
      </c>
      <c r="D19" s="2" t="s">
        <v>148</v>
      </c>
    </row>
    <row r="20" customFormat="false" ht="15" hidden="false" customHeight="false" outlineLevel="0" collapsed="false">
      <c r="A20" s="2" t="s">
        <v>149</v>
      </c>
      <c r="B20" s="2" t="s">
        <v>150</v>
      </c>
      <c r="C20" s="2" t="s">
        <v>151</v>
      </c>
      <c r="D20" s="2" t="s">
        <v>152</v>
      </c>
    </row>
    <row r="21" customFormat="false" ht="15" hidden="false" customHeight="false" outlineLevel="0" collapsed="false">
      <c r="A21" s="2" t="s">
        <v>153</v>
      </c>
      <c r="B21" s="2" t="s">
        <v>154</v>
      </c>
      <c r="C21" s="2" t="s">
        <v>155</v>
      </c>
      <c r="D21" s="2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8" min="4" style="0" width="9"/>
    <col collapsed="false" customWidth="true" hidden="false" outlineLevel="0" max="14" min="9" style="0" width="11"/>
  </cols>
  <sheetData>
    <row r="1" customFormat="false" ht="23.85" hidden="false" customHeight="false" outlineLevel="0" collapsed="false">
      <c r="A1" s="1" t="s">
        <v>157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16</v>
      </c>
    </row>
    <row r="2" customFormat="false" ht="15" hidden="false" customHeight="false" outlineLevel="0" collapsed="false">
      <c r="A2" s="2" t="s">
        <v>170</v>
      </c>
      <c r="B2" s="2" t="s">
        <v>171</v>
      </c>
      <c r="C2" s="3" t="n">
        <v>755.36</v>
      </c>
      <c r="D2" s="3" t="n">
        <v>20.21</v>
      </c>
      <c r="E2" s="3" t="n">
        <v>19.99</v>
      </c>
      <c r="F2" s="3" t="n">
        <v>20.04</v>
      </c>
      <c r="G2" s="3" t="n">
        <v>19.9</v>
      </c>
      <c r="H2" s="3" t="n">
        <v>19.84</v>
      </c>
      <c r="I2" s="3" t="n">
        <f aca="false">C2*D2/100</f>
        <v>152.658256</v>
      </c>
      <c r="J2" s="3" t="n">
        <f aca="false">C2*E2/100</f>
        <v>150.996464</v>
      </c>
      <c r="K2" s="3" t="n">
        <f aca="false">C2*F2/100</f>
        <v>151.374144</v>
      </c>
      <c r="L2" s="3" t="n">
        <f aca="false">C2*G2/100</f>
        <v>150.31664</v>
      </c>
      <c r="M2" s="3" t="n">
        <f aca="false">C2*H2/100</f>
        <v>149.863424</v>
      </c>
      <c r="N2" s="3" t="n">
        <f aca="false">C2/5</f>
        <v>151.072</v>
      </c>
    </row>
    <row r="3" customFormat="false" ht="15" hidden="false" customHeight="false" outlineLevel="0" collapsed="false">
      <c r="A3" s="2" t="s">
        <v>172</v>
      </c>
      <c r="B3" s="2" t="s">
        <v>171</v>
      </c>
      <c r="C3" s="3" t="n">
        <v>800</v>
      </c>
      <c r="D3" s="3" t="n">
        <v>20.13</v>
      </c>
      <c r="E3" s="3" t="n">
        <v>20</v>
      </c>
      <c r="F3" s="3" t="n">
        <v>20</v>
      </c>
      <c r="G3" s="3" t="n">
        <v>19.94</v>
      </c>
      <c r="H3" s="3" t="n">
        <v>19.94</v>
      </c>
      <c r="I3" s="3" t="n">
        <f aca="false">C3*D3/100</f>
        <v>161.04</v>
      </c>
      <c r="J3" s="3" t="n">
        <f aca="false">C3*E3/100</f>
        <v>160</v>
      </c>
      <c r="K3" s="3" t="n">
        <f aca="false">C3*F3/100</f>
        <v>160</v>
      </c>
      <c r="L3" s="3" t="n">
        <f aca="false">C3*G3/100</f>
        <v>159.52</v>
      </c>
      <c r="M3" s="3" t="n">
        <f aca="false">C3*H3/100</f>
        <v>159.52</v>
      </c>
      <c r="N3" s="3" t="n">
        <f aca="false">C3/5</f>
        <v>160</v>
      </c>
    </row>
    <row r="4" customFormat="false" ht="15" hidden="false" customHeight="false" outlineLevel="0" collapsed="false">
      <c r="A4" s="2" t="s">
        <v>173</v>
      </c>
      <c r="B4" s="2" t="s">
        <v>171</v>
      </c>
      <c r="C4" s="3" t="n">
        <v>850</v>
      </c>
      <c r="D4" s="3" t="n">
        <v>20.12</v>
      </c>
      <c r="E4" s="3" t="n">
        <v>20</v>
      </c>
      <c r="F4" s="3" t="n">
        <v>20</v>
      </c>
      <c r="G4" s="3" t="n">
        <v>19.94</v>
      </c>
      <c r="H4" s="3" t="n">
        <v>19.94</v>
      </c>
      <c r="I4" s="3" t="n">
        <f aca="false">C4*D4/100</f>
        <v>171.02</v>
      </c>
      <c r="J4" s="3" t="n">
        <f aca="false">C4*E4/100</f>
        <v>170</v>
      </c>
      <c r="K4" s="3" t="n">
        <f aca="false">C4*F4/100</f>
        <v>170</v>
      </c>
      <c r="L4" s="3" t="n">
        <f aca="false">C4*G4/100</f>
        <v>169.49</v>
      </c>
      <c r="M4" s="3" t="n">
        <f aca="false">C4*H4/100</f>
        <v>169.49</v>
      </c>
      <c r="N4" s="3" t="n">
        <f aca="false">C4/5</f>
        <v>170</v>
      </c>
    </row>
    <row r="5" customFormat="false" ht="15" hidden="false" customHeight="false" outlineLevel="0" collapsed="false">
      <c r="A5" s="2" t="s">
        <v>174</v>
      </c>
      <c r="B5" s="2" t="s">
        <v>171</v>
      </c>
      <c r="C5" s="3" t="n">
        <v>930</v>
      </c>
      <c r="D5" s="3" t="n">
        <v>20.11</v>
      </c>
      <c r="E5" s="3" t="n">
        <v>20</v>
      </c>
      <c r="F5" s="3" t="n">
        <v>20</v>
      </c>
      <c r="G5" s="3" t="n">
        <v>19.95</v>
      </c>
      <c r="H5" s="3" t="n">
        <v>19.95</v>
      </c>
      <c r="I5" s="3" t="n">
        <f aca="false">C5*D5/100</f>
        <v>187.023</v>
      </c>
      <c r="J5" s="3" t="n">
        <f aca="false">C5*E5/100</f>
        <v>186</v>
      </c>
      <c r="K5" s="3" t="n">
        <f aca="false">C5*F5/100</f>
        <v>186</v>
      </c>
      <c r="L5" s="3" t="n">
        <f aca="false">C5*G5/100</f>
        <v>185.535</v>
      </c>
      <c r="M5" s="3" t="n">
        <f aca="false">C5*H5/100</f>
        <v>185.535</v>
      </c>
      <c r="N5" s="3" t="n">
        <f aca="false">C5/5</f>
        <v>186</v>
      </c>
    </row>
    <row r="6" customFormat="false" ht="15" hidden="false" customHeight="false" outlineLevel="0" collapsed="false">
      <c r="A6" s="2" t="s">
        <v>175</v>
      </c>
      <c r="B6" s="2" t="s">
        <v>171</v>
      </c>
      <c r="C6" s="3" t="n">
        <v>900</v>
      </c>
      <c r="D6" s="3" t="n">
        <v>20.11</v>
      </c>
      <c r="E6" s="3" t="n">
        <v>20</v>
      </c>
      <c r="F6" s="3" t="n">
        <v>20</v>
      </c>
      <c r="G6" s="3" t="n">
        <v>19.94</v>
      </c>
      <c r="H6" s="3" t="n">
        <v>19.94</v>
      </c>
      <c r="I6" s="3" t="n">
        <f aca="false">C6*D6/100</f>
        <v>180.99</v>
      </c>
      <c r="J6" s="3" t="n">
        <f aca="false">C6*E6/100</f>
        <v>180</v>
      </c>
      <c r="K6" s="3" t="n">
        <f aca="false">C6*F6/100</f>
        <v>180</v>
      </c>
      <c r="L6" s="3" t="n">
        <f aca="false">C6*G6/100</f>
        <v>179.46</v>
      </c>
      <c r="M6" s="3" t="n">
        <f aca="false">C6*H6/100</f>
        <v>179.46</v>
      </c>
      <c r="N6" s="3" t="n">
        <f aca="false">C6/5</f>
        <v>180</v>
      </c>
    </row>
    <row r="7" customFormat="false" ht="15" hidden="false" customHeight="false" outlineLevel="0" collapsed="false">
      <c r="A7" s="2" t="s">
        <v>176</v>
      </c>
      <c r="B7" s="2" t="s">
        <v>171</v>
      </c>
      <c r="C7" s="3" t="n">
        <v>1020</v>
      </c>
      <c r="D7" s="3" t="n">
        <v>20.1</v>
      </c>
      <c r="E7" s="3" t="n">
        <v>19.9</v>
      </c>
      <c r="F7" s="3" t="n">
        <v>19.9</v>
      </c>
      <c r="G7" s="3" t="n">
        <v>20.05</v>
      </c>
      <c r="H7" s="3" t="n">
        <v>20.05</v>
      </c>
      <c r="I7" s="3" t="n">
        <f aca="false">C7*D7/100</f>
        <v>205.02</v>
      </c>
      <c r="J7" s="3" t="n">
        <f aca="false">C7*E7/100</f>
        <v>202.98</v>
      </c>
      <c r="K7" s="3" t="n">
        <f aca="false">C7*F7/100</f>
        <v>202.98</v>
      </c>
      <c r="L7" s="3" t="n">
        <f aca="false">C7*G7/100</f>
        <v>204.51</v>
      </c>
      <c r="M7" s="3" t="n">
        <f aca="false">C7*H7/100</f>
        <v>204.51</v>
      </c>
      <c r="N7" s="3" t="n">
        <f aca="false">C7/5</f>
        <v>204</v>
      </c>
    </row>
    <row r="8" customFormat="false" ht="15" hidden="false" customHeight="false" outlineLevel="0" collapsed="false">
      <c r="A8" s="2" t="s">
        <v>177</v>
      </c>
      <c r="B8" s="2" t="s">
        <v>171</v>
      </c>
      <c r="C8" s="3" t="n">
        <v>1200</v>
      </c>
      <c r="D8" s="3" t="n">
        <v>20.08</v>
      </c>
      <c r="E8" s="3" t="n">
        <v>19.83</v>
      </c>
      <c r="F8" s="3" t="n">
        <v>19.83</v>
      </c>
      <c r="G8" s="3" t="n">
        <v>20.13</v>
      </c>
      <c r="H8" s="3" t="n">
        <v>20.13</v>
      </c>
      <c r="I8" s="3" t="n">
        <f aca="false">C8*D8/100</f>
        <v>240.96</v>
      </c>
      <c r="J8" s="3" t="n">
        <f aca="false">C8*E8/100</f>
        <v>237.96</v>
      </c>
      <c r="K8" s="3" t="n">
        <f aca="false">C8*F8/100</f>
        <v>237.96</v>
      </c>
      <c r="L8" s="3" t="n">
        <f aca="false">C8*G8/100</f>
        <v>241.56</v>
      </c>
      <c r="M8" s="3" t="n">
        <f aca="false">C8*H8/100</f>
        <v>241.56</v>
      </c>
      <c r="N8" s="3" t="n">
        <f aca="false">C8/5</f>
        <v>240</v>
      </c>
    </row>
    <row r="9" customFormat="false" ht="15" hidden="false" customHeight="false" outlineLevel="0" collapsed="false">
      <c r="A9" s="2" t="s">
        <v>178</v>
      </c>
      <c r="B9" s="2" t="s">
        <v>171</v>
      </c>
      <c r="C9" s="3" t="n">
        <v>1500</v>
      </c>
      <c r="D9" s="3" t="n">
        <v>20</v>
      </c>
      <c r="E9" s="3" t="n">
        <v>19.73</v>
      </c>
      <c r="F9" s="3" t="n">
        <v>19.67</v>
      </c>
      <c r="G9" s="3" t="n">
        <v>20.27</v>
      </c>
      <c r="H9" s="3" t="n">
        <v>20.33</v>
      </c>
      <c r="I9" s="3" t="n">
        <f aca="false">C9*D9/100</f>
        <v>300</v>
      </c>
      <c r="J9" s="3" t="n">
        <f aca="false">C9*E9/100</f>
        <v>295.95</v>
      </c>
      <c r="K9" s="3" t="n">
        <f aca="false">C9*F9/100</f>
        <v>295.05</v>
      </c>
      <c r="L9" s="3" t="n">
        <f aca="false">C9*G9/100</f>
        <v>304.05</v>
      </c>
      <c r="M9" s="3" t="n">
        <f aca="false">C9*H9/100</f>
        <v>304.95</v>
      </c>
      <c r="N9" s="3" t="n">
        <f aca="false">C9/5</f>
        <v>300</v>
      </c>
    </row>
    <row r="10" customFormat="false" ht="15" hidden="false" customHeight="false" outlineLevel="0" collapsed="false">
      <c r="A10" s="2" t="s">
        <v>170</v>
      </c>
      <c r="B10" s="2" t="s">
        <v>179</v>
      </c>
      <c r="C10" s="3" t="n">
        <v>838.06</v>
      </c>
      <c r="D10" s="3" t="n">
        <v>19.93</v>
      </c>
      <c r="E10" s="3" t="n">
        <v>19.99</v>
      </c>
      <c r="F10" s="3" t="n">
        <v>20.05</v>
      </c>
      <c r="G10" s="3" t="n">
        <v>19.99</v>
      </c>
      <c r="H10" s="3" t="n">
        <v>20.05</v>
      </c>
      <c r="I10" s="3" t="n">
        <f aca="false">C10*D10/100</f>
        <v>167.025358</v>
      </c>
      <c r="J10" s="3" t="n">
        <f aca="false">C10*E10/100</f>
        <v>167.528194</v>
      </c>
      <c r="K10" s="3" t="n">
        <f aca="false">C10*F10/100</f>
        <v>168.03103</v>
      </c>
      <c r="L10" s="3" t="n">
        <f aca="false">C10*G10/100</f>
        <v>167.528194</v>
      </c>
      <c r="M10" s="3" t="n">
        <f aca="false">C10*H10/100</f>
        <v>168.03103</v>
      </c>
      <c r="N10" s="3" t="n">
        <f aca="false">C10/5</f>
        <v>167.612</v>
      </c>
    </row>
    <row r="11" customFormat="false" ht="15" hidden="false" customHeight="false" outlineLevel="0" collapsed="false">
      <c r="A11" s="2" t="s">
        <v>180</v>
      </c>
      <c r="B11" s="2" t="s">
        <v>179</v>
      </c>
      <c r="C11" s="3" t="n">
        <v>900</v>
      </c>
      <c r="D11" s="3" t="n">
        <v>19.89</v>
      </c>
      <c r="E11" s="3" t="n">
        <v>20</v>
      </c>
      <c r="F11" s="3" t="n">
        <v>20.06</v>
      </c>
      <c r="G11" s="3" t="n">
        <v>20</v>
      </c>
      <c r="H11" s="3" t="n">
        <v>20.06</v>
      </c>
      <c r="I11" s="3" t="n">
        <f aca="false">C11*D11/100</f>
        <v>179.01</v>
      </c>
      <c r="J11" s="3" t="n">
        <f aca="false">C11*E11/100</f>
        <v>180</v>
      </c>
      <c r="K11" s="3" t="n">
        <f aca="false">C11*F11/100</f>
        <v>180.54</v>
      </c>
      <c r="L11" s="3" t="n">
        <f aca="false">C11*G11/100</f>
        <v>180</v>
      </c>
      <c r="M11" s="3" t="n">
        <f aca="false">C11*H11/100</f>
        <v>180.54</v>
      </c>
      <c r="N11" s="3" t="n">
        <f aca="false">C11/5</f>
        <v>180</v>
      </c>
    </row>
    <row r="12" customFormat="false" ht="15" hidden="false" customHeight="false" outlineLevel="0" collapsed="false">
      <c r="A12" s="2" t="s">
        <v>181</v>
      </c>
      <c r="B12" s="2" t="s">
        <v>179</v>
      </c>
      <c r="C12" s="3" t="n">
        <v>960</v>
      </c>
      <c r="D12" s="3" t="n">
        <v>19.9</v>
      </c>
      <c r="E12" s="3" t="n">
        <v>20</v>
      </c>
      <c r="F12" s="3" t="n">
        <v>20.05</v>
      </c>
      <c r="G12" s="3" t="n">
        <v>20</v>
      </c>
      <c r="H12" s="3" t="n">
        <v>20.05</v>
      </c>
      <c r="I12" s="3" t="n">
        <f aca="false">C12*D12/100</f>
        <v>191.04</v>
      </c>
      <c r="J12" s="3" t="n">
        <f aca="false">C12*E12/100</f>
        <v>192</v>
      </c>
      <c r="K12" s="3" t="n">
        <f aca="false">C12*F12/100</f>
        <v>192.48</v>
      </c>
      <c r="L12" s="3" t="n">
        <f aca="false">C12*G12/100</f>
        <v>192</v>
      </c>
      <c r="M12" s="3" t="n">
        <f aca="false">C12*H12/100</f>
        <v>192.48</v>
      </c>
      <c r="N12" s="3" t="n">
        <f aca="false">C12/5</f>
        <v>192</v>
      </c>
    </row>
    <row r="13" customFormat="false" ht="15" hidden="false" customHeight="false" outlineLevel="0" collapsed="false">
      <c r="A13" s="2" t="s">
        <v>182</v>
      </c>
      <c r="B13" s="2" t="s">
        <v>179</v>
      </c>
      <c r="C13" s="3" t="n">
        <v>1050</v>
      </c>
      <c r="D13" s="3" t="n">
        <v>19.9</v>
      </c>
      <c r="E13" s="3" t="n">
        <v>19.95</v>
      </c>
      <c r="F13" s="3" t="n">
        <v>20</v>
      </c>
      <c r="G13" s="3" t="n">
        <v>20.05</v>
      </c>
      <c r="H13" s="3" t="n">
        <v>20.1</v>
      </c>
      <c r="I13" s="3" t="n">
        <f aca="false">C13*D13/100</f>
        <v>208.95</v>
      </c>
      <c r="J13" s="3" t="n">
        <f aca="false">C13*E13/100</f>
        <v>209.475</v>
      </c>
      <c r="K13" s="3" t="n">
        <f aca="false">C13*F13/100</f>
        <v>210</v>
      </c>
      <c r="L13" s="3" t="n">
        <f aca="false">C13*G13/100</f>
        <v>210.525</v>
      </c>
      <c r="M13" s="3" t="n">
        <f aca="false">C13*H13/100</f>
        <v>211.05</v>
      </c>
      <c r="N13" s="3" t="n">
        <f aca="false">C13/5</f>
        <v>210</v>
      </c>
    </row>
    <row r="14" customFormat="false" ht="15" hidden="false" customHeight="false" outlineLevel="0" collapsed="false">
      <c r="A14" s="2" t="s">
        <v>183</v>
      </c>
      <c r="B14" s="2" t="s">
        <v>179</v>
      </c>
      <c r="C14" s="3" t="n">
        <v>1050</v>
      </c>
      <c r="D14" s="3" t="n">
        <v>19.9</v>
      </c>
      <c r="E14" s="3" t="n">
        <v>19.95</v>
      </c>
      <c r="F14" s="3" t="n">
        <v>20</v>
      </c>
      <c r="G14" s="3" t="n">
        <v>20.05</v>
      </c>
      <c r="H14" s="3" t="n">
        <v>20.1</v>
      </c>
      <c r="I14" s="3" t="n">
        <f aca="false">C14*D14/100</f>
        <v>208.95</v>
      </c>
      <c r="J14" s="3" t="n">
        <f aca="false">C14*E14/100</f>
        <v>209.475</v>
      </c>
      <c r="K14" s="3" t="n">
        <f aca="false">C14*F14/100</f>
        <v>210</v>
      </c>
      <c r="L14" s="3" t="n">
        <f aca="false">C14*G14/100</f>
        <v>210.525</v>
      </c>
      <c r="M14" s="3" t="n">
        <f aca="false">C14*H14/100</f>
        <v>211.05</v>
      </c>
      <c r="N14" s="3" t="n">
        <f aca="false">C14/5</f>
        <v>210</v>
      </c>
    </row>
    <row r="15" customFormat="false" ht="15" hidden="false" customHeight="false" outlineLevel="0" collapsed="false">
      <c r="A15" s="2" t="s">
        <v>184</v>
      </c>
      <c r="B15" s="2" t="s">
        <v>179</v>
      </c>
      <c r="C15" s="3" t="n">
        <v>1260</v>
      </c>
      <c r="D15" s="3" t="n">
        <v>19.84</v>
      </c>
      <c r="E15" s="3" t="n">
        <v>19.84</v>
      </c>
      <c r="F15" s="3" t="n">
        <v>19.92</v>
      </c>
      <c r="G15" s="3" t="n">
        <v>20.16</v>
      </c>
      <c r="H15" s="3" t="n">
        <v>20.24</v>
      </c>
      <c r="I15" s="3" t="n">
        <f aca="false">C15*D15/100</f>
        <v>249.984</v>
      </c>
      <c r="J15" s="3" t="n">
        <f aca="false">C15*E15/100</f>
        <v>249.984</v>
      </c>
      <c r="K15" s="3" t="n">
        <f aca="false">C15*F15/100</f>
        <v>250.992</v>
      </c>
      <c r="L15" s="3" t="n">
        <f aca="false">C15*G15/100</f>
        <v>254.016</v>
      </c>
      <c r="M15" s="3" t="n">
        <f aca="false">C15*H15/100</f>
        <v>255.024</v>
      </c>
      <c r="N15" s="3" t="n">
        <f aca="false">C15/5</f>
        <v>252</v>
      </c>
    </row>
    <row r="16" customFormat="false" ht="15" hidden="false" customHeight="false" outlineLevel="0" collapsed="false">
      <c r="A16" s="2" t="s">
        <v>185</v>
      </c>
      <c r="B16" s="2" t="s">
        <v>179</v>
      </c>
      <c r="C16" s="3" t="n">
        <v>1560</v>
      </c>
      <c r="D16" s="3" t="n">
        <v>19.74</v>
      </c>
      <c r="E16" s="3" t="n">
        <v>19.74</v>
      </c>
      <c r="F16" s="3" t="n">
        <v>19.87</v>
      </c>
      <c r="G16" s="3" t="n">
        <v>20.26</v>
      </c>
      <c r="H16" s="3" t="n">
        <v>20.38</v>
      </c>
      <c r="I16" s="3" t="n">
        <f aca="false">C16*D16/100</f>
        <v>307.944</v>
      </c>
      <c r="J16" s="3" t="n">
        <f aca="false">C16*E16/100</f>
        <v>307.944</v>
      </c>
      <c r="K16" s="3" t="n">
        <f aca="false">C16*F16/100</f>
        <v>309.972</v>
      </c>
      <c r="L16" s="3" t="n">
        <f aca="false">C16*G16/100</f>
        <v>316.056</v>
      </c>
      <c r="M16" s="3" t="n">
        <f aca="false">C16*H16/100</f>
        <v>317.928</v>
      </c>
      <c r="N16" s="3" t="n">
        <f aca="false">C16/5</f>
        <v>312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4"/>
  </cols>
  <sheetData>
    <row r="1" customFormat="false" ht="17.35" hidden="false" customHeight="false" outlineLevel="0" collapsed="false">
      <c r="A1" s="4" t="s">
        <v>186</v>
      </c>
    </row>
    <row r="3" customFormat="false" ht="15" hidden="false" customHeight="false" outlineLevel="0" collapsed="false">
      <c r="A3" s="0" t="s">
        <v>187</v>
      </c>
      <c r="C3" s="0" t="n">
        <v>1080</v>
      </c>
    </row>
    <row r="4" customFormat="false" ht="15" hidden="false" customHeight="false" outlineLevel="0" collapsed="false">
      <c r="A4" s="0" t="s">
        <v>188</v>
      </c>
      <c r="C4" s="0" t="s">
        <v>189</v>
      </c>
    </row>
    <row r="5" customFormat="false" ht="15" hidden="false" customHeight="false" outlineLevel="0" collapsed="false">
      <c r="A5" s="0" t="s">
        <v>190</v>
      </c>
      <c r="C5" s="0" t="s">
        <v>23</v>
      </c>
    </row>
    <row r="7" customFormat="false" ht="15" hidden="false" customHeight="false" outlineLevel="0" collapsed="false">
      <c r="A7" s="0" t="s">
        <v>191</v>
      </c>
    </row>
    <row r="8" customFormat="false" ht="15" hidden="false" customHeight="false" outlineLevel="0" collapsed="false">
      <c r="A8" s="1" t="s">
        <v>192</v>
      </c>
      <c r="B8" s="1" t="s">
        <v>193</v>
      </c>
      <c r="C8" s="1" t="s">
        <v>194</v>
      </c>
      <c r="D8" s="1" t="s">
        <v>195</v>
      </c>
      <c r="E8" s="1" t="s">
        <v>196</v>
      </c>
    </row>
    <row r="9" customFormat="false" ht="15" hidden="false" customHeight="false" outlineLevel="0" collapsed="false">
      <c r="A9" s="0" t="s">
        <v>197</v>
      </c>
      <c r="B9" s="0" t="n">
        <f aca="false">IF(C4="M",C3*0.2011,C3*0.2011)*IF(C5="XC",1.05,1)</f>
        <v>217.188</v>
      </c>
      <c r="C9" s="0" t="n">
        <f aca="false">B9</f>
        <v>217.188</v>
      </c>
      <c r="D9" s="0" t="n">
        <f aca="false">B9</f>
        <v>217.188</v>
      </c>
      <c r="E9" s="0" t="n">
        <f aca="false">B9*1.60934</f>
        <v>349.52933592</v>
      </c>
    </row>
    <row r="10" customFormat="false" ht="15" hidden="false" customHeight="false" outlineLevel="0" collapsed="false">
      <c r="A10" s="0" t="s">
        <v>198</v>
      </c>
      <c r="B10" s="0" t="n">
        <f aca="false">IF(C4="M",C3*0.2,C3*0.2)*IF(C5="XC",1.05,1)</f>
        <v>216</v>
      </c>
      <c r="C10" s="0" t="n">
        <f aca="false">C9+B10</f>
        <v>433.188</v>
      </c>
      <c r="D10" s="0" t="n">
        <f aca="false">B10</f>
        <v>216</v>
      </c>
      <c r="E10" s="0" t="n">
        <f aca="false">B10*1.60934</f>
        <v>347.61744</v>
      </c>
    </row>
    <row r="11" customFormat="false" ht="15" hidden="false" customHeight="false" outlineLevel="0" collapsed="false">
      <c r="A11" s="0" t="s">
        <v>199</v>
      </c>
      <c r="B11" s="0" t="n">
        <f aca="false">IF(C4="M",C3*0.2,C3*0.2)*IF(C5="XC",1.05,1)</f>
        <v>216</v>
      </c>
      <c r="C11" s="0" t="n">
        <f aca="false">C10+B11</f>
        <v>649.188</v>
      </c>
      <c r="D11" s="0" t="n">
        <f aca="false">B11</f>
        <v>216</v>
      </c>
      <c r="E11" s="0" t="n">
        <f aca="false">B11*1.60934</f>
        <v>347.61744</v>
      </c>
    </row>
    <row r="12" customFormat="false" ht="15" hidden="false" customHeight="false" outlineLevel="0" collapsed="false">
      <c r="A12" s="0" t="s">
        <v>200</v>
      </c>
      <c r="B12" s="0" t="n">
        <f aca="false">IF(C4="M",C3*0.1994,C3*0.1994)*IF(C5="XC",1.05,1)</f>
        <v>215.352</v>
      </c>
      <c r="C12" s="0" t="n">
        <f aca="false">C11+B12</f>
        <v>864.54</v>
      </c>
      <c r="D12" s="0" t="n">
        <f aca="false">B12</f>
        <v>215.352</v>
      </c>
      <c r="E12" s="0" t="n">
        <f aca="false">B12*1.60934</f>
        <v>346.57458768</v>
      </c>
    </row>
    <row r="13" customFormat="false" ht="15" hidden="false" customHeight="false" outlineLevel="0" collapsed="false">
      <c r="A13" s="0" t="s">
        <v>201</v>
      </c>
      <c r="B13" s="0" t="n">
        <f aca="false">IF(C4="M",C3*0.1994,C3*0.1994)*IF(C5="XC",1.05,1)</f>
        <v>215.352</v>
      </c>
      <c r="C13" s="0" t="n">
        <f aca="false">C12+B13</f>
        <v>1079.892</v>
      </c>
      <c r="D13" s="0" t="n">
        <f aca="false">B13</f>
        <v>215.352</v>
      </c>
      <c r="E13" s="0" t="n">
        <f aca="false">B13*1.60934</f>
        <v>346.57458768</v>
      </c>
    </row>
    <row r="15" customFormat="false" ht="15" hidden="false" customHeight="false" outlineLevel="0" collapsed="false">
      <c r="A15" s="0" t="s">
        <v>202</v>
      </c>
      <c r="B15" s="0" t="n">
        <f aca="false">SUM(B9:B13)</f>
        <v>1079.892</v>
      </c>
      <c r="C15" s="0" t="n">
        <f aca="false">C13</f>
        <v>1079.892</v>
      </c>
    </row>
    <row r="17" customFormat="false" ht="15" hidden="false" customHeight="false" outlineLevel="0" collapsed="false">
      <c r="A17" s="0" t="s">
        <v>203</v>
      </c>
      <c r="B17" s="0" t="n">
        <f aca="false">C3/5</f>
        <v>216</v>
      </c>
    </row>
    <row r="18" customFormat="false" ht="15" hidden="false" customHeight="false" outlineLevel="0" collapsed="false">
      <c r="A18" s="0" t="s">
        <v>204</v>
      </c>
      <c r="B18" s="0" t="n">
        <f aca="false">C3/3.10686</f>
        <v>347.617852107916</v>
      </c>
    </row>
    <row r="19" customFormat="false" ht="15" hidden="false" customHeight="false" outlineLevel="0" collapsed="false">
      <c r="A19" s="0" t="s">
        <v>205</v>
      </c>
      <c r="B19" s="0" t="n">
        <f aca="false">C3/12.5</f>
        <v>86.4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0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4" t="s">
        <v>206</v>
      </c>
    </row>
    <row r="3" customFormat="false" ht="15" hidden="false" customHeight="false" outlineLevel="0" collapsed="false">
      <c r="A3" s="6" t="s">
        <v>207</v>
      </c>
      <c r="B3" s="7" t="s">
        <v>41</v>
      </c>
      <c r="C3" s="7" t="s">
        <v>208</v>
      </c>
    </row>
    <row r="4" customFormat="false" ht="15" hidden="false" customHeight="false" outlineLevel="0" collapsed="false">
      <c r="A4" s="7"/>
      <c r="B4" s="7" t="s">
        <v>209</v>
      </c>
      <c r="C4" s="7" t="s">
        <v>210</v>
      </c>
    </row>
    <row r="5" customFormat="false" ht="15" hidden="false" customHeight="false" outlineLevel="0" collapsed="false">
      <c r="A5" s="6" t="s">
        <v>211</v>
      </c>
      <c r="B5" s="7" t="s">
        <v>212</v>
      </c>
      <c r="C5" s="7" t="s">
        <v>213</v>
      </c>
    </row>
    <row r="6" customFormat="false" ht="15" hidden="false" customHeight="false" outlineLevel="0" collapsed="false">
      <c r="A6" s="7"/>
      <c r="B6" s="7" t="s">
        <v>214</v>
      </c>
      <c r="C6" s="7" t="s">
        <v>215</v>
      </c>
    </row>
    <row r="7" customFormat="false" ht="15" hidden="false" customHeight="false" outlineLevel="0" collapsed="false">
      <c r="A7" s="7"/>
      <c r="B7" s="7"/>
      <c r="C7" s="7"/>
    </row>
    <row r="8" customFormat="false" ht="15" hidden="false" customHeight="false" outlineLevel="0" collapsed="false">
      <c r="A8" s="6" t="s">
        <v>216</v>
      </c>
      <c r="B8" s="7"/>
      <c r="C8" s="7"/>
    </row>
    <row r="9" customFormat="false" ht="15" hidden="false" customHeight="false" outlineLevel="0" collapsed="false">
      <c r="A9" s="7"/>
      <c r="B9" s="7" t="s">
        <v>217</v>
      </c>
      <c r="C9" s="7"/>
    </row>
    <row r="10" customFormat="false" ht="15" hidden="false" customHeight="false" outlineLevel="0" collapsed="false">
      <c r="A10" s="7"/>
      <c r="B10" s="7" t="s">
        <v>218</v>
      </c>
      <c r="C10" s="7"/>
    </row>
    <row r="11" customFormat="false" ht="15" hidden="false" customHeight="false" outlineLevel="0" collapsed="false">
      <c r="A11" s="7"/>
      <c r="B11" s="7" t="s">
        <v>219</v>
      </c>
      <c r="C11" s="7"/>
    </row>
    <row r="12" customFormat="false" ht="15" hidden="false" customHeight="false" outlineLevel="0" collapsed="false">
      <c r="A12" s="7"/>
      <c r="B12" s="7" t="s">
        <v>220</v>
      </c>
      <c r="C12" s="7"/>
    </row>
    <row r="13" customFormat="false" ht="15" hidden="false" customHeight="false" outlineLevel="0" collapsed="false">
      <c r="A13" s="7"/>
      <c r="B13" s="7" t="s">
        <v>221</v>
      </c>
      <c r="C13" s="7"/>
    </row>
    <row r="14" customFormat="false" ht="15" hidden="false" customHeight="false" outlineLevel="0" collapsed="false">
      <c r="A14" s="7"/>
      <c r="B14" s="7" t="s">
        <v>222</v>
      </c>
      <c r="C14" s="7"/>
    </row>
    <row r="15" customFormat="false" ht="15" hidden="false" customHeight="false" outlineLevel="0" collapsed="false">
      <c r="A15" s="7"/>
      <c r="B15" s="7" t="s">
        <v>223</v>
      </c>
      <c r="C15" s="7"/>
    </row>
    <row r="16" customFormat="false" ht="15" hidden="false" customHeight="false" outlineLevel="0" collapsed="false">
      <c r="A16" s="7"/>
      <c r="B16" s="7" t="s">
        <v>224</v>
      </c>
      <c r="C16" s="7"/>
    </row>
    <row r="17" customFormat="false" ht="15" hidden="false" customHeight="false" outlineLevel="0" collapsed="false">
      <c r="A17" s="7"/>
      <c r="B17" s="7" t="s">
        <v>225</v>
      </c>
      <c r="C17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2026-03-21T13:25:20Z</dcterms:created>
  <dc:creator>openpyxl</dc:creator>
  <dc:description/>
  <dc:language>en-US</dc:language>
  <cp:lastModifiedBy/>
  <dcterms:modified xsi:type="dcterms:W3CDTF">2026-03-21T13:25:20Z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