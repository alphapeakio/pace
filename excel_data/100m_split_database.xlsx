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100m Splits" sheetId="1" state="visible" r:id="rId3"/>
    <sheet name="Women 100m Splits" sheetId="2" state="visible" r:id="rId4"/>
    <sheet name="Pacing Model" sheetId="3" state="visible" r:id="rId5"/>
    <sheet name="Pace Calculator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<sst xmlns="http://schemas.openxmlformats.org/spreadsheetml/2006/main" count="331" uniqueCount="190">
  <si>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</si>
  <si>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</si>
  <si>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</si>
  <si>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</si>
  <si>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</si>
  <si>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Round</t>
  </si>
  <si>
    <t xml:space="preserve">Official Time (s)</t>
  </si>
  <si>
    <t xml:space="preserve">Wind (m/s)</t>
  </si>
  <si>
    <t xml:space="preserve">Place</t>
  </si>
  <si>
    <t xml:space="preserve">RT (s)</t>
  </si>
  <si>
    <t xml:space="preserve">0-10m</t>
  </si>
  <si>
    <t xml:space="preserve">10-20m</t>
  </si>
  <si>
    <t xml:space="preserve">20-30m</t>
  </si>
  <si>
    <t xml:space="preserve">30-40m</t>
  </si>
  <si>
    <t xml:space="preserve">40-50m</t>
  </si>
  <si>
    <t xml:space="preserve">50-60m</t>
  </si>
  <si>
    <t xml:space="preserve">60-70m</t>
  </si>
  <si>
    <t xml:space="preserve">70-80m</t>
  </si>
  <si>
    <t xml:space="preserve">80-90m</t>
  </si>
  <si>
    <t xml:space="preserve">90-100m</t>
  </si>
  <si>
    <t xml:space="preserve">0-60m</t>
  </si>
  <si>
    <t xml:space="preserve">60-100m</t>
  </si>
  <si>
    <t xml:space="preserve">Peak Velocity (m/s)</t>
  </si>
  <si>
    <t xml:space="preserve">Record Type</t>
  </si>
  <si>
    <t xml:space="preserve">Source</t>
  </si>
  <si>
    <t xml:space="preserve">Bolt, Usain</t>
  </si>
  <si>
    <t xml:space="preserve">JAM</t>
  </si>
  <si>
    <t xml:space="preserve">2009-08-16</t>
  </si>
  <si>
    <t xml:space="preserve">World Championships Berlin</t>
  </si>
  <si>
    <t xml:space="preserve">Final</t>
  </si>
  <si>
    <t xml:space="preserve">WR</t>
  </si>
  <si>
    <t xml:space="preserve">Graubner (2011) IAAF</t>
  </si>
  <si>
    <t xml:space="preserve">2012-08-05</t>
  </si>
  <si>
    <t xml:space="preserve">Olympic Games London</t>
  </si>
  <si>
    <t xml:space="preserve">OR</t>
  </si>
  <si>
    <t xml:space="preserve">IAAF Scientific Report (2012)</t>
  </si>
  <si>
    <t xml:space="preserve">Gay, Tyson</t>
  </si>
  <si>
    <t xml:space="preserve">USA</t>
  </si>
  <si>
    <t xml:space="preserve">2009-09-20</t>
  </si>
  <si>
    <t xml:space="preserve">Shanghai Golden Grand Prix</t>
  </si>
  <si>
    <t xml:space="preserve">AR</t>
  </si>
  <si>
    <t xml:space="preserve">SpeedEndurance/Timing Data</t>
  </si>
  <si>
    <t xml:space="preserve">2008-08-16</t>
  </si>
  <si>
    <t xml:space="preserve">Olympic Games Beijing</t>
  </si>
  <si>
    <t xml:space="preserve">SpeedEndurance/IAAF (2008)</t>
  </si>
  <si>
    <t xml:space="preserve">Blake, Yohan</t>
  </si>
  <si>
    <t xml:space="preserve">2012-08-23</t>
  </si>
  <si>
    <t xml:space="preserve">Athletissima Lausanne</t>
  </si>
  <si>
    <t xml:space="preserve">NR</t>
  </si>
  <si>
    <t xml:space="preserve">Omega Timing (2012)</t>
  </si>
  <si>
    <t xml:space="preserve">Powell, Asafa</t>
  </si>
  <si>
    <t xml:space="preserve">2008-09-02</t>
  </si>
  <si>
    <t xml:space="preserve">Omega Timing (2008)</t>
  </si>
  <si>
    <t xml:space="preserve">2007-09-09</t>
  </si>
  <si>
    <t xml:space="preserve">IAAF Grand Prix Rieti</t>
  </si>
  <si>
    <t xml:space="preserve">SpeedEndurance (2007)</t>
  </si>
  <si>
    <t xml:space="preserve">SF</t>
  </si>
  <si>
    <t xml:space="preserve">SB</t>
  </si>
  <si>
    <t xml:space="preserve">Gatlin, Justin</t>
  </si>
  <si>
    <t xml:space="preserve">2015-05-15</t>
  </si>
  <si>
    <t xml:space="preserve">Diamond League Doha</t>
  </si>
  <si>
    <t xml:space="preserve">PB</t>
  </si>
  <si>
    <t xml:space="preserve">Omega Timing (2015)</t>
  </si>
  <si>
    <t xml:space="preserve">Greene, Maurice</t>
  </si>
  <si>
    <t xml:space="preserve">1999-06-16</t>
  </si>
  <si>
    <t xml:space="preserve">Athens Grand Prix</t>
  </si>
  <si>
    <t xml:space="preserve">SpeedEndurance (1999)</t>
  </si>
  <si>
    <t xml:space="preserve">Johnson, Ben</t>
  </si>
  <si>
    <t xml:space="preserve">CAN</t>
  </si>
  <si>
    <t xml:space="preserve">1988-09-24</t>
  </si>
  <si>
    <t xml:space="preserve">Olympic Games Seoul</t>
  </si>
  <si>
    <t xml:space="preserve">DQ</t>
  </si>
  <si>
    <t xml:space="preserve">Brüggemann (1990)</t>
  </si>
  <si>
    <t xml:space="preserve">Lewis, Carl</t>
  </si>
  <si>
    <t xml:space="preserve">1991-08-25</t>
  </si>
  <si>
    <t xml:space="preserve">World Championships Tokyo</t>
  </si>
  <si>
    <t xml:space="preserve">IAAF Biomechanics (1991)</t>
  </si>
  <si>
    <t xml:space="preserve">Montgomery, Tim</t>
  </si>
  <si>
    <t xml:space="preserve">2002-09-14</t>
  </si>
  <si>
    <t xml:space="preserve">IAAF Grand Prix Paris</t>
  </si>
  <si>
    <t xml:space="preserve">SpeedEndurance (2002)</t>
  </si>
  <si>
    <t xml:space="preserve">Lyles, Noah</t>
  </si>
  <si>
    <t xml:space="preserve">2024-08-04</t>
  </si>
  <si>
    <t xml:space="preserve">Olympic Games Paris</t>
  </si>
  <si>
    <t xml:space="preserve">Paris 2024 Results Book</t>
  </si>
  <si>
    <t xml:space="preserve">Tebogo, Letsile</t>
  </si>
  <si>
    <t xml:space="preserve">BOT</t>
  </si>
  <si>
    <t xml:space="preserve">NR/PB</t>
  </si>
  <si>
    <t xml:space="preserve">Griffith-Joyner, Florence</t>
  </si>
  <si>
    <t xml:space="preserve">1988-07-16</t>
  </si>
  <si>
    <t xml:space="preserve">US Olympic Trials Indianapolis</t>
  </si>
  <si>
    <t xml:space="preserve">QF</t>
  </si>
  <si>
    <t xml:space="preserve">Butler (2016)</t>
  </si>
  <si>
    <t xml:space="preserve">Fraser-Pryce, Shelly-Ann</t>
  </si>
  <si>
    <t xml:space="preserve">2012-09-07</t>
  </si>
  <si>
    <t xml:space="preserve">Memorial Van Damme Brussels</t>
  </si>
  <si>
    <t xml:space="preserve">Thompson-Herah, Elaine</t>
  </si>
  <si>
    <t xml:space="preserve">2021-08-21</t>
  </si>
  <si>
    <t xml:space="preserve">Prefontaine Classic Eugene</t>
  </si>
  <si>
    <t xml:space="preserve">Omega Timing (2021)</t>
  </si>
  <si>
    <t xml:space="preserve">2023-08-21</t>
  </si>
  <si>
    <t xml:space="preserve">World Championships Budapest</t>
  </si>
  <si>
    <t xml:space="preserve">Seiko Timing (2023)</t>
  </si>
  <si>
    <t xml:space="preserve">Jeter, Carmelita</t>
  </si>
  <si>
    <t xml:space="preserve">Timing Data (2009)</t>
  </si>
  <si>
    <t xml:space="preserve">Campbell-Brown, Veronica</t>
  </si>
  <si>
    <t xml:space="preserve">2009-08-17</t>
  </si>
  <si>
    <t xml:space="preserve">Fraser, Shelly-Ann</t>
  </si>
  <si>
    <t xml:space="preserve">Richardson, Sha'Carri</t>
  </si>
  <si>
    <t xml:space="preserve">2024-08-03</t>
  </si>
  <si>
    <t xml:space="preserve">Jackson, Shericka</t>
  </si>
  <si>
    <t xml:space="preserve">2023-06-09</t>
  </si>
  <si>
    <t xml:space="preserve">NYC Grand Prix</t>
  </si>
  <si>
    <t xml:space="preserve">Omega Timing (2023)</t>
  </si>
  <si>
    <t xml:space="preserve">1988-09-25</t>
  </si>
  <si>
    <t xml:space="preserve">Performance Level</t>
  </si>
  <si>
    <t xml:space="preserve">Gender</t>
  </si>
  <si>
    <t xml:space="preserve">Target Time (s)</t>
  </si>
  <si>
    <t xml:space="preserve">% 0-30m</t>
  </si>
  <si>
    <t xml:space="preserve">% 30-60m</t>
  </si>
  <si>
    <t xml:space="preserve">% 60-80m</t>
  </si>
  <si>
    <t xml:space="preserve">% 80-100m</t>
  </si>
  <si>
    <t xml:space="preserve">0-30m Target</t>
  </si>
  <si>
    <t xml:space="preserve">30-60m Target</t>
  </si>
  <si>
    <t xml:space="preserve">60-80m Target</t>
  </si>
  <si>
    <t xml:space="preserve">80-100m Target</t>
  </si>
  <si>
    <t xml:space="preserve">0-60m Target</t>
  </si>
  <si>
    <t xml:space="preserve">60-100m Target</t>
  </si>
  <si>
    <t xml:space="preserve">Decel Index</t>
  </si>
  <si>
    <t xml:space="preserve">World Record</t>
  </si>
  <si>
    <t xml:space="preserve">Male</t>
  </si>
  <si>
    <t xml:space="preserve">World Class (9.7-9.9)</t>
  </si>
  <si>
    <t xml:space="preserve">Elite (9.9-10.1)</t>
  </si>
  <si>
    <t xml:space="preserve">Sub-Elite (10.1-10.5)</t>
  </si>
  <si>
    <t xml:space="preserve">Collegiate (10.3-10.8)</t>
  </si>
  <si>
    <t xml:space="preserve">HS Varsity (10.5-11.5)</t>
  </si>
  <si>
    <t xml:space="preserve">HS JV (11.5-13.0)</t>
  </si>
  <si>
    <t xml:space="preserve">Recreational</t>
  </si>
  <si>
    <t xml:space="preserve">Female</t>
  </si>
  <si>
    <t xml:space="preserve">World Class (10.6-10.8)</t>
  </si>
  <si>
    <t xml:space="preserve">Elite (10.8-11.1)</t>
  </si>
  <si>
    <t xml:space="preserve">Sub-Elite (11.1-11.5)</t>
  </si>
  <si>
    <t xml:space="preserve">Collegiate (11.3-12.0)</t>
  </si>
  <si>
    <t xml:space="preserve">HS Varsity (12.0-13.0)</t>
  </si>
  <si>
    <t xml:space="preserve">HS JV (13.0-15.0)</t>
  </si>
  <si>
    <t xml:space="preserve">100m PACE CALCULATOR</t>
  </si>
  <si>
    <t xml:space="preserve">Enter Target Time (seconds):</t>
  </si>
  <si>
    <t xml:space="preserve">Gender (M or F):</t>
  </si>
  <si>
    <t xml:space="preserve">M</t>
  </si>
  <si>
    <t xml:space="preserve">RECOMMENDED SPLITS</t>
  </si>
  <si>
    <t xml:space="preserve">Segment</t>
  </si>
  <si>
    <t xml:space="preserve">Split Time (s)</t>
  </si>
  <si>
    <t xml:space="preserve">Cumulative (s)</t>
  </si>
  <si>
    <t xml:space="preserve">Velocity (m/s)</t>
  </si>
  <si>
    <t xml:space="preserve">% of Total</t>
  </si>
  <si>
    <t xml:space="preserve">0-30m</t>
  </si>
  <si>
    <t xml:space="preserve">30-60m</t>
  </si>
  <si>
    <t xml:space="preserve">60-80m</t>
  </si>
  <si>
    <t xml:space="preserve">80-100m</t>
  </si>
  <si>
    <t xml:space="preserve">TOTAL</t>
  </si>
  <si>
    <t xml:space="preserve">Peak Velocity (est)</t>
  </si>
  <si>
    <t xml:space="preserve">DATA SOURCES &amp; METHODOLOGY</t>
  </si>
  <si>
    <t xml:space="preserve">Primary Source</t>
  </si>
  <si>
    <t xml:space="preserve">IAAF/World Athletics Biomechanical Reports</t>
  </si>
  <si>
    <t xml:space="preserve">10m split data from Berlin 2009, London 2012, and other major championships</t>
  </si>
  <si>
    <t xml:space="preserve">Graubner &amp; Nixdorf (2011)</t>
  </si>
  <si>
    <t xml:space="preserve">Biomechanical analysis of sprint events at 2009 IAAF World Championships, New Studies in Athletics 26:19-53</t>
  </si>
  <si>
    <t xml:space="preserve">Brüggemann et al. (1990)</t>
  </si>
  <si>
    <t xml:space="preserve">Scientific research project for Seoul 1988 Olympic Games</t>
  </si>
  <si>
    <t xml:space="preserve">Timing Sources</t>
  </si>
  <si>
    <t xml:space="preserve">Omega Timing</t>
  </si>
  <si>
    <t xml:space="preserve">Diamond League &amp; Olympic race analysis 2008-2024</t>
  </si>
  <si>
    <t xml:space="preserve">Official Olympic results with splits</t>
  </si>
  <si>
    <t xml:space="preserve">SpeedEndurance.com</t>
  </si>
  <si>
    <t xml:space="preserve">Historical split data compilation by Jimson Lee</t>
  </si>
  <si>
    <t xml:space="preserve">Academic</t>
  </si>
  <si>
    <t xml:space="preserve">Mero et al. (1992)</t>
  </si>
  <si>
    <t xml:space="preserve">Biomechanics of Sprint Running, Sports Med. 13:376-392</t>
  </si>
  <si>
    <t xml:space="preserve">Healy et al. (2022)</t>
  </si>
  <si>
    <t xml:space="preserve">Profiling elite male 100-m sprint, J Sport Health Sci 11:75-84</t>
  </si>
  <si>
    <t xml:space="preserve">Čoh et al. (2018)</t>
  </si>
  <si>
    <t xml:space="preserve">Kinematics of Usain Bolt maximal sprint velocity</t>
  </si>
  <si>
    <t xml:space="preserve">NOTES ON PACING MODEL</t>
  </si>
  <si>
    <t xml:space="preserve">Split percentages computed from actual race data in the database</t>
  </si>
  <si>
    <t xml:space="preserve">100m has 3 phases: drive/acceleration (0-30m), transition/max velocity (30-60m), speed maintenance (60-100m)</t>
  </si>
  <si>
    <t xml:space="preserve">RT (reaction time) IS included in the 0-10m interval splits but NOT in the pacing model</t>
  </si>
  <si>
    <t xml:space="preserve">Youth athletes show proportionally longer acceleration phases relative to total time</t>
  </si>
  <si>
    <t xml:space="preserve">Wind affects all segments but has greatest impact at max velocity (60-80m)</t>
  </si>
  <si>
    <t xml:space="preserve">Peak velocity typically reached between 50-70m for elite sprinters</t>
  </si>
  <si>
    <t xml:space="preserve">Female sprinters typically reach peak velocity slightly earlier (40-60m)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</si>
</sst>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20" min="10" style="0" width="8"/>
    <col collapsed="false" customWidth="true" hidden="false" outlineLevel="0" max="22" min="21" style="0" width="10"/>
    <col collapsed="false" customWidth="true" hidden="false" outlineLevel="0" max="23" min="23" style="0" width="14"/>
    <col collapsed="false" customWidth="true" hidden="false" outlineLevel="0" max="24" min="24" style="0" width="10"/>
    <col collapsed="false" customWidth="true" hidden="false" outlineLevel="0" max="25" min="25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3" t="n">
        <v>1986</v>
      </c>
      <c r="D2" s="3" t="s">
        <v>27</v>
      </c>
      <c r="E2" s="3" t="s">
        <v>28</v>
      </c>
      <c r="F2" s="3" t="s">
        <v>29</v>
      </c>
      <c r="G2" s="4" t="n">
        <v>9.58</v>
      </c>
      <c r="H2" s="3" t="n">
        <v>0.9</v>
      </c>
      <c r="I2" s="3" t="n">
        <v>1</v>
      </c>
      <c r="J2" s="5" t="n">
        <v>0.146</v>
      </c>
      <c r="K2" s="4" t="n">
        <v>1.89</v>
      </c>
      <c r="L2" s="4" t="n">
        <v>0.99</v>
      </c>
      <c r="M2" s="4" t="n">
        <v>0.9</v>
      </c>
      <c r="N2" s="4" t="n">
        <v>0.86</v>
      </c>
      <c r="O2" s="4" t="n">
        <v>0.83</v>
      </c>
      <c r="P2" s="4" t="n">
        <v>0.82</v>
      </c>
      <c r="Q2" s="4" t="n">
        <v>0.81</v>
      </c>
      <c r="R2" s="4" t="n">
        <v>0.82</v>
      </c>
      <c r="S2" s="4" t="n">
        <v>0.83</v>
      </c>
      <c r="T2" s="4" t="n">
        <v>0.83</v>
      </c>
      <c r="U2" s="4" t="n">
        <f aca="false">SUM(K2:P2)</f>
        <v>6.29</v>
      </c>
      <c r="V2" s="4" t="n">
        <f aca="false">SUM(Q2:T2)</f>
        <v>3.29</v>
      </c>
      <c r="W2" s="4" t="n">
        <v>12.34</v>
      </c>
      <c r="X2" s="3" t="s">
        <v>30</v>
      </c>
      <c r="Y2" s="3" t="s">
        <v>31</v>
      </c>
    </row>
    <row r="3" customFormat="false" ht="15" hidden="false" customHeight="false" outlineLevel="0" collapsed="false">
      <c r="A3" s="2" t="s">
        <v>25</v>
      </c>
      <c r="B3" s="2" t="s">
        <v>26</v>
      </c>
      <c r="C3" s="3" t="n">
        <v>1986</v>
      </c>
      <c r="D3" s="3" t="s">
        <v>32</v>
      </c>
      <c r="E3" s="3" t="s">
        <v>33</v>
      </c>
      <c r="F3" s="3" t="s">
        <v>29</v>
      </c>
      <c r="G3" s="4" t="n">
        <v>9.63</v>
      </c>
      <c r="H3" s="3" t="n">
        <v>1.5</v>
      </c>
      <c r="I3" s="3" t="n">
        <v>1</v>
      </c>
      <c r="J3" s="5" t="n">
        <v>0.165</v>
      </c>
      <c r="K3" s="4" t="n">
        <v>1.9</v>
      </c>
      <c r="L3" s="4" t="n">
        <v>1.01</v>
      </c>
      <c r="M3" s="4" t="n">
        <v>0.91</v>
      </c>
      <c r="N3" s="4" t="n">
        <v>0.87</v>
      </c>
      <c r="O3" s="4" t="n">
        <v>0.84</v>
      </c>
      <c r="P3" s="4" t="n">
        <v>0.82</v>
      </c>
      <c r="Q3" s="4" t="n">
        <v>0.81</v>
      </c>
      <c r="R3" s="4" t="n">
        <v>0.82</v>
      </c>
      <c r="S3" s="4" t="n">
        <v>0.83</v>
      </c>
      <c r="T3" s="4" t="n">
        <v>0.82</v>
      </c>
      <c r="U3" s="4" t="n">
        <f aca="false">SUM(K3:P3)</f>
        <v>6.35</v>
      </c>
      <c r="V3" s="4" t="n">
        <f aca="false">SUM(Q3:T3)</f>
        <v>3.28</v>
      </c>
      <c r="W3" s="4" t="n">
        <v>12.27</v>
      </c>
      <c r="X3" s="3" t="s">
        <v>34</v>
      </c>
      <c r="Y3" s="3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3" t="n">
        <v>1982</v>
      </c>
      <c r="D4" s="3" t="s">
        <v>38</v>
      </c>
      <c r="E4" s="3" t="s">
        <v>39</v>
      </c>
      <c r="F4" s="3" t="s">
        <v>29</v>
      </c>
      <c r="G4" s="4" t="n">
        <v>9.69</v>
      </c>
      <c r="H4" s="3" t="n">
        <v>2</v>
      </c>
      <c r="I4" s="3" t="n">
        <v>1</v>
      </c>
      <c r="J4" s="5" t="n">
        <v>0.144</v>
      </c>
      <c r="K4" s="4" t="n">
        <v>1.87</v>
      </c>
      <c r="L4" s="4" t="n">
        <v>0.99</v>
      </c>
      <c r="M4" s="4" t="n">
        <v>0.9</v>
      </c>
      <c r="N4" s="4" t="n">
        <v>0.86</v>
      </c>
      <c r="O4" s="4" t="n">
        <v>0.84</v>
      </c>
      <c r="P4" s="4" t="n">
        <v>0.83</v>
      </c>
      <c r="Q4" s="4" t="n">
        <v>0.82</v>
      </c>
      <c r="R4" s="4" t="n">
        <v>0.83</v>
      </c>
      <c r="S4" s="4" t="n">
        <v>0.84</v>
      </c>
      <c r="T4" s="4" t="n">
        <v>0.91</v>
      </c>
      <c r="U4" s="4" t="n">
        <f aca="false">SUM(K4:P4)</f>
        <v>6.29</v>
      </c>
      <c r="V4" s="4" t="n">
        <f aca="false">SUM(Q4:T4)</f>
        <v>3.4</v>
      </c>
      <c r="W4" s="4" t="n">
        <v>12.2</v>
      </c>
      <c r="X4" s="3" t="s">
        <v>40</v>
      </c>
      <c r="Y4" s="3" t="s">
        <v>41</v>
      </c>
    </row>
    <row r="5" customFormat="false" ht="15" hidden="false" customHeight="false" outlineLevel="0" collapsed="false">
      <c r="A5" s="2" t="s">
        <v>25</v>
      </c>
      <c r="B5" s="2" t="s">
        <v>26</v>
      </c>
      <c r="C5" s="3" t="n">
        <v>1986</v>
      </c>
      <c r="D5" s="3" t="s">
        <v>42</v>
      </c>
      <c r="E5" s="3" t="s">
        <v>43</v>
      </c>
      <c r="F5" s="3" t="s">
        <v>29</v>
      </c>
      <c r="G5" s="4" t="n">
        <v>9.69</v>
      </c>
      <c r="H5" s="3" t="n">
        <v>0</v>
      </c>
      <c r="I5" s="3" t="n">
        <v>1</v>
      </c>
      <c r="J5" s="5" t="n">
        <v>0.165</v>
      </c>
      <c r="K5" s="4" t="n">
        <v>1.85</v>
      </c>
      <c r="L5" s="4" t="n">
        <v>1.02</v>
      </c>
      <c r="M5" s="4" t="n">
        <v>0.91</v>
      </c>
      <c r="N5" s="4" t="n">
        <v>0.87</v>
      </c>
      <c r="O5" s="4" t="n">
        <v>0.85</v>
      </c>
      <c r="P5" s="4" t="n">
        <v>0.82</v>
      </c>
      <c r="Q5" s="4" t="n">
        <v>0.82</v>
      </c>
      <c r="R5" s="4" t="n">
        <v>0.82</v>
      </c>
      <c r="S5" s="4" t="n">
        <v>0.83</v>
      </c>
      <c r="T5" s="4" t="n">
        <v>0.9</v>
      </c>
      <c r="U5" s="4" t="n">
        <f aca="false">SUM(K5:P5)</f>
        <v>6.32</v>
      </c>
      <c r="V5" s="4" t="n">
        <f aca="false">SUM(Q5:T5)</f>
        <v>3.37</v>
      </c>
      <c r="W5" s="4" t="n">
        <v>12.2</v>
      </c>
      <c r="X5" s="3" t="s">
        <v>30</v>
      </c>
      <c r="Y5" s="3" t="s">
        <v>44</v>
      </c>
    </row>
    <row r="6" customFormat="false" ht="15" hidden="false" customHeight="false" outlineLevel="0" collapsed="false">
      <c r="A6" s="2" t="s">
        <v>45</v>
      </c>
      <c r="B6" s="2" t="s">
        <v>26</v>
      </c>
      <c r="C6" s="3" t="n">
        <v>1989</v>
      </c>
      <c r="D6" s="3" t="s">
        <v>46</v>
      </c>
      <c r="E6" s="3" t="s">
        <v>47</v>
      </c>
      <c r="F6" s="3" t="s">
        <v>29</v>
      </c>
      <c r="G6" s="4" t="n">
        <v>9.69</v>
      </c>
      <c r="H6" s="3" t="n">
        <v>-0.1</v>
      </c>
      <c r="I6" s="3" t="n">
        <v>1</v>
      </c>
      <c r="J6" s="5" t="n">
        <v>0.145</v>
      </c>
      <c r="K6" s="4" t="n">
        <v>1.88</v>
      </c>
      <c r="L6" s="4" t="n">
        <v>1</v>
      </c>
      <c r="M6" s="4" t="n">
        <v>0.91</v>
      </c>
      <c r="N6" s="4" t="n">
        <v>0.87</v>
      </c>
      <c r="O6" s="4" t="n">
        <v>0.83</v>
      </c>
      <c r="P6" s="4" t="n">
        <v>0.82</v>
      </c>
      <c r="Q6" s="4" t="n">
        <v>0.82</v>
      </c>
      <c r="R6" s="4" t="n">
        <v>0.83</v>
      </c>
      <c r="S6" s="4" t="n">
        <v>0.85</v>
      </c>
      <c r="T6" s="4" t="n">
        <v>0.88</v>
      </c>
      <c r="U6" s="4" t="n">
        <f aca="false">SUM(K6:P6)</f>
        <v>6.31</v>
      </c>
      <c r="V6" s="4" t="n">
        <f aca="false">SUM(Q6:T6)</f>
        <v>3.38</v>
      </c>
      <c r="W6" s="4" t="n">
        <v>12.2</v>
      </c>
      <c r="X6" s="3" t="s">
        <v>48</v>
      </c>
      <c r="Y6" s="3" t="s">
        <v>49</v>
      </c>
    </row>
    <row r="7" customFormat="false" ht="15" hidden="false" customHeight="false" outlineLevel="0" collapsed="false">
      <c r="A7" s="2" t="s">
        <v>50</v>
      </c>
      <c r="B7" s="2" t="s">
        <v>26</v>
      </c>
      <c r="C7" s="3" t="n">
        <v>1982</v>
      </c>
      <c r="D7" s="3" t="s">
        <v>51</v>
      </c>
      <c r="E7" s="3" t="s">
        <v>47</v>
      </c>
      <c r="F7" s="3" t="s">
        <v>29</v>
      </c>
      <c r="G7" s="4" t="n">
        <v>9.72</v>
      </c>
      <c r="H7" s="3" t="n">
        <v>1.3</v>
      </c>
      <c r="I7" s="3" t="n">
        <v>1</v>
      </c>
      <c r="J7" s="5" t="n">
        <v>0.162</v>
      </c>
      <c r="K7" s="4" t="n">
        <v>1.87</v>
      </c>
      <c r="L7" s="4" t="n">
        <v>0.99</v>
      </c>
      <c r="M7" s="4" t="n">
        <v>0.91</v>
      </c>
      <c r="N7" s="4" t="n">
        <v>0.87</v>
      </c>
      <c r="O7" s="4" t="n">
        <v>0.84</v>
      </c>
      <c r="P7" s="4" t="n">
        <v>0.83</v>
      </c>
      <c r="Q7" s="4" t="n">
        <v>0.83</v>
      </c>
      <c r="R7" s="4" t="n">
        <v>0.83</v>
      </c>
      <c r="S7" s="4" t="n">
        <v>0.84</v>
      </c>
      <c r="T7" s="4" t="n">
        <v>0.91</v>
      </c>
      <c r="U7" s="4" t="n">
        <f aca="false">SUM(K7:P7)</f>
        <v>6.31</v>
      </c>
      <c r="V7" s="4" t="n">
        <f aca="false">SUM(Q7:T7)</f>
        <v>3.41</v>
      </c>
      <c r="W7" s="4" t="n">
        <v>12.05</v>
      </c>
      <c r="X7" s="3" t="s">
        <v>30</v>
      </c>
      <c r="Y7" s="3" t="s">
        <v>52</v>
      </c>
    </row>
    <row r="8" customFormat="false" ht="15" hidden="false" customHeight="false" outlineLevel="0" collapsed="false">
      <c r="A8" s="2" t="s">
        <v>50</v>
      </c>
      <c r="B8" s="2" t="s">
        <v>26</v>
      </c>
      <c r="C8" s="3" t="n">
        <v>1982</v>
      </c>
      <c r="D8" s="3" t="s">
        <v>53</v>
      </c>
      <c r="E8" s="3" t="s">
        <v>54</v>
      </c>
      <c r="F8" s="3" t="s">
        <v>29</v>
      </c>
      <c r="G8" s="4" t="n">
        <v>9.74</v>
      </c>
      <c r="H8" s="3" t="n">
        <v>1.7</v>
      </c>
      <c r="I8" s="3" t="n">
        <v>1</v>
      </c>
      <c r="J8" s="5" t="n">
        <v>0.148</v>
      </c>
      <c r="K8" s="4" t="n">
        <v>1.88</v>
      </c>
      <c r="L8" s="4" t="n">
        <v>1</v>
      </c>
      <c r="M8" s="4" t="n">
        <v>0.9</v>
      </c>
      <c r="N8" s="4" t="n">
        <v>0.87</v>
      </c>
      <c r="O8" s="4" t="n">
        <v>0.84</v>
      </c>
      <c r="P8" s="4" t="n">
        <v>0.83</v>
      </c>
      <c r="Q8" s="4" t="n">
        <v>0.83</v>
      </c>
      <c r="R8" s="4" t="n">
        <v>0.83</v>
      </c>
      <c r="S8" s="4" t="n">
        <v>0.85</v>
      </c>
      <c r="T8" s="4" t="n">
        <v>0.91</v>
      </c>
      <c r="U8" s="4" t="n">
        <f aca="false">SUM(K8:P8)</f>
        <v>6.32</v>
      </c>
      <c r="V8" s="4" t="n">
        <f aca="false">SUM(Q8:T8)</f>
        <v>3.42</v>
      </c>
      <c r="W8" s="4" t="n">
        <v>12.05</v>
      </c>
      <c r="X8" s="3" t="s">
        <v>30</v>
      </c>
      <c r="Y8" s="3" t="s">
        <v>55</v>
      </c>
    </row>
    <row r="9" customFormat="false" ht="15" hidden="false" customHeight="false" outlineLevel="0" collapsed="false">
      <c r="A9" s="2" t="s">
        <v>25</v>
      </c>
      <c r="B9" s="2" t="s">
        <v>26</v>
      </c>
      <c r="C9" s="3" t="n">
        <v>1986</v>
      </c>
      <c r="D9" s="3" t="s">
        <v>27</v>
      </c>
      <c r="E9" s="3" t="s">
        <v>28</v>
      </c>
      <c r="F9" s="3" t="s">
        <v>56</v>
      </c>
      <c r="G9" s="4" t="n">
        <v>9.89</v>
      </c>
      <c r="H9" s="3" t="n">
        <v>0.2</v>
      </c>
      <c r="I9" s="3" t="n">
        <v>1</v>
      </c>
      <c r="J9" s="5" t="n">
        <v>0.155</v>
      </c>
      <c r="K9" s="4" t="n">
        <v>1.93</v>
      </c>
      <c r="L9" s="4" t="n">
        <v>1.01</v>
      </c>
      <c r="M9" s="4" t="n">
        <v>0.92</v>
      </c>
      <c r="N9" s="4" t="n">
        <v>0.88</v>
      </c>
      <c r="O9" s="4" t="n">
        <v>0.85</v>
      </c>
      <c r="P9" s="4" t="n">
        <v>0.83</v>
      </c>
      <c r="Q9" s="4" t="n">
        <v>0.82</v>
      </c>
      <c r="R9" s="4" t="n">
        <v>0.83</v>
      </c>
      <c r="S9" s="4" t="n">
        <v>0.84</v>
      </c>
      <c r="T9" s="4" t="n">
        <v>0.93</v>
      </c>
      <c r="U9" s="4" t="n">
        <f aca="false">SUM(K9:P9)</f>
        <v>6.42</v>
      </c>
      <c r="V9" s="4" t="n">
        <f aca="false">SUM(Q9:T9)</f>
        <v>3.42</v>
      </c>
      <c r="W9" s="4" t="n">
        <v>12.2</v>
      </c>
      <c r="X9" s="3" t="s">
        <v>57</v>
      </c>
      <c r="Y9" s="3" t="s">
        <v>31</v>
      </c>
    </row>
    <row r="10" customFormat="false" ht="15" hidden="false" customHeight="false" outlineLevel="0" collapsed="false">
      <c r="A10" s="2" t="s">
        <v>50</v>
      </c>
      <c r="B10" s="2" t="s">
        <v>26</v>
      </c>
      <c r="C10" s="3" t="n">
        <v>1982</v>
      </c>
      <c r="D10" s="3" t="s">
        <v>27</v>
      </c>
      <c r="E10" s="3" t="s">
        <v>28</v>
      </c>
      <c r="F10" s="3" t="s">
        <v>29</v>
      </c>
      <c r="G10" s="4" t="n">
        <v>9.84</v>
      </c>
      <c r="H10" s="3" t="n">
        <v>0.9</v>
      </c>
      <c r="I10" s="3" t="n">
        <v>3</v>
      </c>
      <c r="J10" s="5" t="n">
        <v>0.134</v>
      </c>
      <c r="K10" s="4" t="n">
        <v>1.86</v>
      </c>
      <c r="L10" s="4" t="n">
        <v>1.01</v>
      </c>
      <c r="M10" s="4" t="n">
        <v>0.92</v>
      </c>
      <c r="N10" s="4" t="n">
        <v>0.88</v>
      </c>
      <c r="O10" s="4" t="n">
        <v>0.85</v>
      </c>
      <c r="P10" s="4" t="n">
        <v>0.83</v>
      </c>
      <c r="Q10" s="4" t="n">
        <v>0.83</v>
      </c>
      <c r="R10" s="4" t="n">
        <v>0.83</v>
      </c>
      <c r="S10" s="4" t="n">
        <v>0.84</v>
      </c>
      <c r="T10" s="4" t="n">
        <v>0.95</v>
      </c>
      <c r="U10" s="4" t="n">
        <f aca="false">SUM(K10:P10)</f>
        <v>6.35</v>
      </c>
      <c r="V10" s="4" t="n">
        <f aca="false">SUM(Q10:T10)</f>
        <v>3.45</v>
      </c>
      <c r="W10" s="4" t="n">
        <v>12.05</v>
      </c>
      <c r="X10" s="3" t="s">
        <v>57</v>
      </c>
      <c r="Y10" s="3" t="s">
        <v>31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3" t="n">
        <v>1982</v>
      </c>
      <c r="D11" s="3" t="s">
        <v>27</v>
      </c>
      <c r="E11" s="3" t="s">
        <v>28</v>
      </c>
      <c r="F11" s="3" t="s">
        <v>29</v>
      </c>
      <c r="G11" s="4" t="n">
        <v>9.71</v>
      </c>
      <c r="H11" s="3" t="n">
        <v>0.9</v>
      </c>
      <c r="I11" s="3" t="n">
        <v>2</v>
      </c>
      <c r="J11" s="5" t="n">
        <v>0.144</v>
      </c>
      <c r="K11" s="4" t="n">
        <v>1.86</v>
      </c>
      <c r="L11" s="4" t="n">
        <v>0.99</v>
      </c>
      <c r="M11" s="4" t="n">
        <v>0.9</v>
      </c>
      <c r="N11" s="4" t="n">
        <v>0.86</v>
      </c>
      <c r="O11" s="4" t="n">
        <v>0.84</v>
      </c>
      <c r="P11" s="4" t="n">
        <v>0.83</v>
      </c>
      <c r="Q11" s="4" t="n">
        <v>0.82</v>
      </c>
      <c r="R11" s="4" t="n">
        <v>0.83</v>
      </c>
      <c r="S11" s="4" t="n">
        <v>0.84</v>
      </c>
      <c r="T11" s="4" t="n">
        <v>0.94</v>
      </c>
      <c r="U11" s="4" t="n">
        <f aca="false">SUM(K11:P11)</f>
        <v>6.28</v>
      </c>
      <c r="V11" s="4" t="n">
        <f aca="false">SUM(Q11:T11)</f>
        <v>3.43</v>
      </c>
      <c r="W11" s="4" t="n">
        <v>12.2</v>
      </c>
      <c r="X11" s="3" t="s">
        <v>40</v>
      </c>
      <c r="Y11" s="3" t="s">
        <v>31</v>
      </c>
    </row>
    <row r="12" customFormat="false" ht="15" hidden="false" customHeight="false" outlineLevel="0" collapsed="false">
      <c r="A12" s="2" t="s">
        <v>58</v>
      </c>
      <c r="B12" s="2" t="s">
        <v>37</v>
      </c>
      <c r="C12" s="3" t="n">
        <v>1982</v>
      </c>
      <c r="D12" s="3" t="s">
        <v>59</v>
      </c>
      <c r="E12" s="3" t="s">
        <v>60</v>
      </c>
      <c r="F12" s="3" t="s">
        <v>29</v>
      </c>
      <c r="G12" s="4" t="n">
        <v>9.74</v>
      </c>
      <c r="H12" s="3" t="n">
        <v>1</v>
      </c>
      <c r="I12" s="3" t="n">
        <v>1</v>
      </c>
      <c r="J12" s="5" t="n">
        <v>0.152</v>
      </c>
      <c r="K12" s="4" t="n">
        <v>1.87</v>
      </c>
      <c r="L12" s="4" t="n">
        <v>0.98</v>
      </c>
      <c r="M12" s="4" t="n">
        <v>0.91</v>
      </c>
      <c r="N12" s="4" t="n">
        <v>0.87</v>
      </c>
      <c r="O12" s="4" t="n">
        <v>0.84</v>
      </c>
      <c r="P12" s="4" t="n">
        <v>0.83</v>
      </c>
      <c r="Q12" s="4" t="n">
        <v>0.83</v>
      </c>
      <c r="R12" s="4" t="n">
        <v>0.84</v>
      </c>
      <c r="S12" s="4" t="n">
        <v>0.86</v>
      </c>
      <c r="T12" s="4" t="n">
        <v>0.91</v>
      </c>
      <c r="U12" s="4" t="n">
        <f aca="false">SUM(K12:P12)</f>
        <v>6.3</v>
      </c>
      <c r="V12" s="4" t="n">
        <f aca="false">SUM(Q12:T12)</f>
        <v>3.44</v>
      </c>
      <c r="W12" s="4" t="n">
        <v>12.05</v>
      </c>
      <c r="X12" s="3" t="s">
        <v>61</v>
      </c>
      <c r="Y12" s="3" t="s">
        <v>62</v>
      </c>
    </row>
    <row r="13" customFormat="false" ht="15" hidden="false" customHeight="false" outlineLevel="0" collapsed="false">
      <c r="A13" s="2" t="s">
        <v>63</v>
      </c>
      <c r="B13" s="2" t="s">
        <v>37</v>
      </c>
      <c r="C13" s="3" t="n">
        <v>1974</v>
      </c>
      <c r="D13" s="3" t="s">
        <v>64</v>
      </c>
      <c r="E13" s="3" t="s">
        <v>65</v>
      </c>
      <c r="F13" s="3" t="s">
        <v>29</v>
      </c>
      <c r="G13" s="4" t="n">
        <v>9.79</v>
      </c>
      <c r="H13" s="3" t="n">
        <v>0.1</v>
      </c>
      <c r="I13" s="3" t="n">
        <v>1</v>
      </c>
      <c r="J13" s="5" t="n">
        <v>0.132</v>
      </c>
      <c r="K13" s="4" t="n">
        <v>1.82</v>
      </c>
      <c r="L13" s="4" t="n">
        <v>1.02</v>
      </c>
      <c r="M13" s="4" t="n">
        <v>0.92</v>
      </c>
      <c r="N13" s="4" t="n">
        <v>0.88</v>
      </c>
      <c r="O13" s="4" t="n">
        <v>0.85</v>
      </c>
      <c r="P13" s="4" t="n">
        <v>0.84</v>
      </c>
      <c r="Q13" s="4" t="n">
        <v>0.83</v>
      </c>
      <c r="R13" s="4" t="n">
        <v>0.83</v>
      </c>
      <c r="S13" s="4" t="n">
        <v>0.85</v>
      </c>
      <c r="T13" s="4" t="n">
        <v>0.95</v>
      </c>
      <c r="U13" s="4" t="n">
        <f aca="false">SUM(K13:P13)</f>
        <v>6.33</v>
      </c>
      <c r="V13" s="4" t="n">
        <f aca="false">SUM(Q13:T13)</f>
        <v>3.46</v>
      </c>
      <c r="W13" s="4" t="n">
        <v>12.05</v>
      </c>
      <c r="X13" s="3" t="s">
        <v>30</v>
      </c>
      <c r="Y13" s="3" t="s">
        <v>66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3" t="n">
        <v>1961</v>
      </c>
      <c r="D14" s="3" t="s">
        <v>69</v>
      </c>
      <c r="E14" s="3" t="s">
        <v>70</v>
      </c>
      <c r="F14" s="3" t="s">
        <v>29</v>
      </c>
      <c r="G14" s="4" t="n">
        <v>9.79</v>
      </c>
      <c r="H14" s="3" t="n">
        <v>1.1</v>
      </c>
      <c r="I14" s="3" t="n">
        <v>1</v>
      </c>
      <c r="J14" s="5" t="n">
        <v>0.132</v>
      </c>
      <c r="K14" s="4" t="n">
        <v>1.83</v>
      </c>
      <c r="L14" s="4" t="n">
        <v>1.01</v>
      </c>
      <c r="M14" s="4" t="n">
        <v>0.92</v>
      </c>
      <c r="N14" s="4" t="n">
        <v>0.88</v>
      </c>
      <c r="O14" s="4" t="n">
        <v>0.84</v>
      </c>
      <c r="P14" s="4" t="n">
        <v>0.84</v>
      </c>
      <c r="Q14" s="4" t="n">
        <v>0.83</v>
      </c>
      <c r="R14" s="4" t="n">
        <v>0.83</v>
      </c>
      <c r="S14" s="4" t="n">
        <v>0.85</v>
      </c>
      <c r="T14" s="4" t="n">
        <v>0.96</v>
      </c>
      <c r="U14" s="4" t="n">
        <f aca="false">SUM(K14:P14)</f>
        <v>6.32</v>
      </c>
      <c r="V14" s="4" t="n">
        <f aca="false">SUM(Q14:T14)</f>
        <v>3.47</v>
      </c>
      <c r="W14" s="4" t="n">
        <v>12.05</v>
      </c>
      <c r="X14" s="3" t="s">
        <v>71</v>
      </c>
      <c r="Y14" s="3" t="s">
        <v>72</v>
      </c>
    </row>
    <row r="15" customFormat="false" ht="15" hidden="false" customHeight="false" outlineLevel="0" collapsed="false">
      <c r="A15" s="2" t="s">
        <v>73</v>
      </c>
      <c r="B15" s="2" t="s">
        <v>37</v>
      </c>
      <c r="C15" s="3" t="n">
        <v>1961</v>
      </c>
      <c r="D15" s="3" t="s">
        <v>74</v>
      </c>
      <c r="E15" s="3" t="s">
        <v>75</v>
      </c>
      <c r="F15" s="3" t="s">
        <v>29</v>
      </c>
      <c r="G15" s="4" t="n">
        <v>9.86</v>
      </c>
      <c r="H15" s="3" t="n">
        <v>1.2</v>
      </c>
      <c r="I15" s="3" t="n">
        <v>1</v>
      </c>
      <c r="J15" s="5" t="n">
        <v>0.14</v>
      </c>
      <c r="K15" s="4" t="n">
        <v>1.88</v>
      </c>
      <c r="L15" s="4" t="n">
        <v>1.02</v>
      </c>
      <c r="M15" s="4" t="n">
        <v>0.93</v>
      </c>
      <c r="N15" s="4" t="n">
        <v>0.88</v>
      </c>
      <c r="O15" s="4" t="n">
        <v>0.84</v>
      </c>
      <c r="P15" s="4" t="n">
        <v>0.83</v>
      </c>
      <c r="Q15" s="4" t="n">
        <v>0.83</v>
      </c>
      <c r="R15" s="4" t="n">
        <v>0.83</v>
      </c>
      <c r="S15" s="4" t="n">
        <v>0.84</v>
      </c>
      <c r="T15" s="4" t="n">
        <v>0.98</v>
      </c>
      <c r="U15" s="4" t="n">
        <f aca="false">SUM(K15:P15)</f>
        <v>6.38</v>
      </c>
      <c r="V15" s="4" t="n">
        <f aca="false">SUM(Q15:T15)</f>
        <v>3.48</v>
      </c>
      <c r="W15" s="4" t="n">
        <v>12.05</v>
      </c>
      <c r="X15" s="3" t="s">
        <v>30</v>
      </c>
      <c r="Y15" s="3" t="s">
        <v>76</v>
      </c>
    </row>
    <row r="16" customFormat="false" ht="15" hidden="false" customHeight="false" outlineLevel="0" collapsed="false">
      <c r="A16" s="2" t="s">
        <v>77</v>
      </c>
      <c r="B16" s="2" t="s">
        <v>37</v>
      </c>
      <c r="C16" s="3" t="n">
        <v>1975</v>
      </c>
      <c r="D16" s="3" t="s">
        <v>78</v>
      </c>
      <c r="E16" s="3" t="s">
        <v>79</v>
      </c>
      <c r="F16" s="3" t="s">
        <v>29</v>
      </c>
      <c r="G16" s="4" t="n">
        <v>9.78</v>
      </c>
      <c r="H16" s="3" t="n">
        <v>2</v>
      </c>
      <c r="I16" s="3" t="n">
        <v>1</v>
      </c>
      <c r="J16" s="5" t="n">
        <v>0.104</v>
      </c>
      <c r="K16" s="4" t="n">
        <v>1.8</v>
      </c>
      <c r="L16" s="4" t="n">
        <v>1</v>
      </c>
      <c r="M16" s="4" t="n">
        <v>0.92</v>
      </c>
      <c r="N16" s="4" t="n">
        <v>0.88</v>
      </c>
      <c r="O16" s="4" t="n">
        <v>0.85</v>
      </c>
      <c r="P16" s="4" t="n">
        <v>0.83</v>
      </c>
      <c r="Q16" s="4" t="n">
        <v>0.83</v>
      </c>
      <c r="R16" s="4" t="n">
        <v>0.83</v>
      </c>
      <c r="S16" s="4" t="n">
        <v>0.84</v>
      </c>
      <c r="T16" s="4" t="n">
        <v>1</v>
      </c>
      <c r="U16" s="4" t="n">
        <f aca="false">SUM(K16:P16)</f>
        <v>6.28</v>
      </c>
      <c r="V16" s="4" t="n">
        <f aca="false">SUM(Q16:T16)</f>
        <v>3.5</v>
      </c>
      <c r="W16" s="4" t="n">
        <v>12.05</v>
      </c>
      <c r="X16" s="3" t="s">
        <v>30</v>
      </c>
      <c r="Y16" s="3" t="s">
        <v>80</v>
      </c>
    </row>
    <row r="17" customFormat="false" ht="15" hidden="false" customHeight="false" outlineLevel="0" collapsed="false">
      <c r="A17" s="2" t="s">
        <v>81</v>
      </c>
      <c r="B17" s="2" t="s">
        <v>37</v>
      </c>
      <c r="C17" s="3" t="n">
        <v>1997</v>
      </c>
      <c r="D17" s="3" t="s">
        <v>82</v>
      </c>
      <c r="E17" s="3" t="s">
        <v>83</v>
      </c>
      <c r="F17" s="3" t="s">
        <v>29</v>
      </c>
      <c r="G17" s="4" t="n">
        <v>9.79</v>
      </c>
      <c r="H17" s="3" t="n">
        <v>0.4</v>
      </c>
      <c r="I17" s="3" t="n">
        <v>1</v>
      </c>
      <c r="J17" s="5" t="n">
        <v>0.178</v>
      </c>
      <c r="K17" s="4" t="n">
        <v>1.93</v>
      </c>
      <c r="L17" s="4" t="n">
        <v>1</v>
      </c>
      <c r="M17" s="4" t="n">
        <v>0.91</v>
      </c>
      <c r="N17" s="4" t="n">
        <v>0.87</v>
      </c>
      <c r="O17" s="4" t="n">
        <v>0.84</v>
      </c>
      <c r="P17" s="4" t="n">
        <v>0.82</v>
      </c>
      <c r="Q17" s="4" t="n">
        <v>0.82</v>
      </c>
      <c r="R17" s="4" t="n">
        <v>0.83</v>
      </c>
      <c r="S17" s="4" t="n">
        <v>0.85</v>
      </c>
      <c r="T17" s="4" t="n">
        <v>0.92</v>
      </c>
      <c r="U17" s="4" t="n">
        <f aca="false">SUM(K17:P17)</f>
        <v>6.37</v>
      </c>
      <c r="V17" s="4" t="n">
        <f aca="false">SUM(Q17:T17)</f>
        <v>3.42</v>
      </c>
      <c r="W17" s="4" t="n">
        <v>12.15</v>
      </c>
      <c r="X17" s="3" t="s">
        <v>34</v>
      </c>
      <c r="Y17" s="3" t="s">
        <v>84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3" t="n">
        <v>2003</v>
      </c>
      <c r="D18" s="3" t="s">
        <v>82</v>
      </c>
      <c r="E18" s="3" t="s">
        <v>83</v>
      </c>
      <c r="F18" s="3" t="s">
        <v>29</v>
      </c>
      <c r="G18" s="4" t="n">
        <v>9.91</v>
      </c>
      <c r="H18" s="3" t="n">
        <v>0.4</v>
      </c>
      <c r="I18" s="3" t="n">
        <v>2</v>
      </c>
      <c r="J18" s="5" t="n">
        <v>0.177</v>
      </c>
      <c r="K18" s="4" t="n">
        <v>1.95</v>
      </c>
      <c r="L18" s="4" t="n">
        <v>1.02</v>
      </c>
      <c r="M18" s="4" t="n">
        <v>0.93</v>
      </c>
      <c r="N18" s="4" t="n">
        <v>0.88</v>
      </c>
      <c r="O18" s="4" t="n">
        <v>0.84</v>
      </c>
      <c r="P18" s="4" t="n">
        <v>0.83</v>
      </c>
      <c r="Q18" s="4" t="n">
        <v>0.82</v>
      </c>
      <c r="R18" s="4" t="n">
        <v>0.83</v>
      </c>
      <c r="S18" s="4" t="n">
        <v>0.84</v>
      </c>
      <c r="T18" s="4" t="n">
        <v>0.97</v>
      </c>
      <c r="U18" s="4" t="n">
        <f aca="false">SUM(K18:P18)</f>
        <v>6.45</v>
      </c>
      <c r="V18" s="4" t="n">
        <f aca="false">SUM(Q18:T18)</f>
        <v>3.46</v>
      </c>
      <c r="W18" s="4" t="n">
        <v>12.1</v>
      </c>
      <c r="X18" s="3" t="s">
        <v>87</v>
      </c>
      <c r="Y18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20" min="10" style="0" width="8"/>
    <col collapsed="false" customWidth="true" hidden="false" outlineLevel="0" max="22" min="21" style="0" width="10"/>
    <col collapsed="false" customWidth="true" hidden="false" outlineLevel="0" max="23" min="23" style="0" width="14"/>
    <col collapsed="false" customWidth="true" hidden="false" outlineLevel="0" max="24" min="24" style="0" width="10"/>
    <col collapsed="false" customWidth="true" hidden="false" outlineLevel="0" max="25" min="25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88</v>
      </c>
      <c r="B2" s="2" t="s">
        <v>37</v>
      </c>
      <c r="C2" s="3" t="n">
        <v>1959</v>
      </c>
      <c r="D2" s="3" t="s">
        <v>89</v>
      </c>
      <c r="E2" s="3" t="s">
        <v>90</v>
      </c>
      <c r="F2" s="3" t="s">
        <v>91</v>
      </c>
      <c r="G2" s="4" t="n">
        <v>10.49</v>
      </c>
      <c r="H2" s="3" t="n">
        <v>0</v>
      </c>
      <c r="I2" s="3" t="n">
        <v>1</v>
      </c>
      <c r="J2" s="5" t="n">
        <v>0.131</v>
      </c>
      <c r="K2" s="4" t="n">
        <v>1.9</v>
      </c>
      <c r="L2" s="4" t="n">
        <v>1.06</v>
      </c>
      <c r="M2" s="4" t="n">
        <v>0.97</v>
      </c>
      <c r="N2" s="4" t="n">
        <v>0.93</v>
      </c>
      <c r="O2" s="4" t="n">
        <v>0.91</v>
      </c>
      <c r="P2" s="4" t="n">
        <v>0.9</v>
      </c>
      <c r="Q2" s="4" t="n">
        <v>0.9</v>
      </c>
      <c r="R2" s="4" t="n">
        <v>0.91</v>
      </c>
      <c r="S2" s="4" t="n">
        <v>0.93</v>
      </c>
      <c r="T2" s="4" t="n">
        <v>1.08</v>
      </c>
      <c r="U2" s="4" t="n">
        <f aca="false">SUM(K2:P2)</f>
        <v>6.67</v>
      </c>
      <c r="V2" s="4" t="n">
        <f aca="false">SUM(Q2:T2)</f>
        <v>3.82</v>
      </c>
      <c r="W2" s="4" t="n">
        <v>11.11</v>
      </c>
      <c r="X2" s="3" t="s">
        <v>30</v>
      </c>
      <c r="Y2" s="3" t="s">
        <v>92</v>
      </c>
    </row>
    <row r="3" customFormat="false" ht="15" hidden="false" customHeight="false" outlineLevel="0" collapsed="false">
      <c r="A3" s="2" t="s">
        <v>93</v>
      </c>
      <c r="B3" s="2" t="s">
        <v>26</v>
      </c>
      <c r="C3" s="3" t="n">
        <v>1986</v>
      </c>
      <c r="D3" s="3" t="s">
        <v>94</v>
      </c>
      <c r="E3" s="3" t="s">
        <v>95</v>
      </c>
      <c r="F3" s="3" t="s">
        <v>29</v>
      </c>
      <c r="G3" s="4" t="n">
        <v>10.6</v>
      </c>
      <c r="H3" s="3" t="n">
        <v>0.1</v>
      </c>
      <c r="I3" s="3" t="n">
        <v>1</v>
      </c>
      <c r="J3" s="5" t="n">
        <v>0.155</v>
      </c>
      <c r="K3" s="4" t="n">
        <v>1.95</v>
      </c>
      <c r="L3" s="4" t="n">
        <v>1.09</v>
      </c>
      <c r="M3" s="4" t="n">
        <v>0.98</v>
      </c>
      <c r="N3" s="4" t="n">
        <v>0.94</v>
      </c>
      <c r="O3" s="4" t="n">
        <v>0.91</v>
      </c>
      <c r="P3" s="4" t="n">
        <v>0.9</v>
      </c>
      <c r="Q3" s="4" t="n">
        <v>0.9</v>
      </c>
      <c r="R3" s="4" t="n">
        <v>0.91</v>
      </c>
      <c r="S3" s="4" t="n">
        <v>0.93</v>
      </c>
      <c r="T3" s="4" t="n">
        <v>1.09</v>
      </c>
      <c r="U3" s="4" t="n">
        <f aca="false">SUM(K3:P3)</f>
        <v>6.77</v>
      </c>
      <c r="V3" s="4" t="n">
        <f aca="false">SUM(Q3:T3)</f>
        <v>3.83</v>
      </c>
      <c r="W3" s="4" t="n">
        <v>11.05</v>
      </c>
      <c r="X3" s="3" t="s">
        <v>48</v>
      </c>
      <c r="Y3" s="3" t="s">
        <v>49</v>
      </c>
    </row>
    <row r="4" customFormat="false" ht="15" hidden="false" customHeight="false" outlineLevel="0" collapsed="false">
      <c r="A4" s="2" t="s">
        <v>96</v>
      </c>
      <c r="B4" s="2" t="s">
        <v>26</v>
      </c>
      <c r="C4" s="3" t="n">
        <v>1992</v>
      </c>
      <c r="D4" s="3" t="s">
        <v>97</v>
      </c>
      <c r="E4" s="3" t="s">
        <v>98</v>
      </c>
      <c r="F4" s="3" t="s">
        <v>29</v>
      </c>
      <c r="G4" s="4" t="n">
        <v>10.54</v>
      </c>
      <c r="H4" s="3" t="n">
        <v>0.9</v>
      </c>
      <c r="I4" s="3" t="n">
        <v>1</v>
      </c>
      <c r="J4" s="5" t="n">
        <v>0.153</v>
      </c>
      <c r="K4" s="4" t="n">
        <v>1.93</v>
      </c>
      <c r="L4" s="4" t="n">
        <v>1.07</v>
      </c>
      <c r="M4" s="4" t="n">
        <v>0.98</v>
      </c>
      <c r="N4" s="4" t="n">
        <v>0.93</v>
      </c>
      <c r="O4" s="4" t="n">
        <v>0.91</v>
      </c>
      <c r="P4" s="4" t="n">
        <v>0.89</v>
      </c>
      <c r="Q4" s="4" t="n">
        <v>0.89</v>
      </c>
      <c r="R4" s="4" t="n">
        <v>0.91</v>
      </c>
      <c r="S4" s="4" t="n">
        <v>0.93</v>
      </c>
      <c r="T4" s="4" t="n">
        <v>1.1</v>
      </c>
      <c r="U4" s="4" t="n">
        <f aca="false">SUM(K4:P4)</f>
        <v>6.71</v>
      </c>
      <c r="V4" s="4" t="n">
        <f aca="false">SUM(Q4:T4)</f>
        <v>3.83</v>
      </c>
      <c r="W4" s="4" t="n">
        <v>11.08</v>
      </c>
      <c r="X4" s="3" t="s">
        <v>87</v>
      </c>
      <c r="Y4" s="3" t="s">
        <v>99</v>
      </c>
    </row>
    <row r="5" customFormat="false" ht="15" hidden="false" customHeight="false" outlineLevel="0" collapsed="false">
      <c r="A5" s="2" t="s">
        <v>93</v>
      </c>
      <c r="B5" s="2" t="s">
        <v>26</v>
      </c>
      <c r="C5" s="3" t="n">
        <v>1986</v>
      </c>
      <c r="D5" s="3" t="s">
        <v>100</v>
      </c>
      <c r="E5" s="3" t="s">
        <v>101</v>
      </c>
      <c r="F5" s="3" t="s">
        <v>29</v>
      </c>
      <c r="G5" s="4" t="n">
        <v>10.63</v>
      </c>
      <c r="H5" s="3" t="n">
        <v>0.2</v>
      </c>
      <c r="I5" s="3" t="n">
        <v>1</v>
      </c>
      <c r="J5" s="5" t="n">
        <v>0.165</v>
      </c>
      <c r="K5" s="4" t="n">
        <v>1.97</v>
      </c>
      <c r="L5" s="4" t="n">
        <v>1.08</v>
      </c>
      <c r="M5" s="4" t="n">
        <v>0.98</v>
      </c>
      <c r="N5" s="4" t="n">
        <v>0.94</v>
      </c>
      <c r="O5" s="4" t="n">
        <v>0.91</v>
      </c>
      <c r="P5" s="4" t="n">
        <v>0.9</v>
      </c>
      <c r="Q5" s="4" t="n">
        <v>0.9</v>
      </c>
      <c r="R5" s="4" t="n">
        <v>0.91</v>
      </c>
      <c r="S5" s="4" t="n">
        <v>0.93</v>
      </c>
      <c r="T5" s="4" t="n">
        <v>1.11</v>
      </c>
      <c r="U5" s="4" t="n">
        <f aca="false">SUM(K5:P5)</f>
        <v>6.78</v>
      </c>
      <c r="V5" s="4" t="n">
        <f aca="false">SUM(Q5:T5)</f>
        <v>3.85</v>
      </c>
      <c r="W5" s="4" t="n">
        <v>11.05</v>
      </c>
      <c r="X5" s="3" t="s">
        <v>57</v>
      </c>
      <c r="Y5" s="3" t="s">
        <v>102</v>
      </c>
    </row>
    <row r="6" customFormat="false" ht="15" hidden="false" customHeight="false" outlineLevel="0" collapsed="false">
      <c r="A6" s="2" t="s">
        <v>103</v>
      </c>
      <c r="B6" s="2" t="s">
        <v>37</v>
      </c>
      <c r="C6" s="3" t="n">
        <v>1979</v>
      </c>
      <c r="D6" s="3" t="s">
        <v>38</v>
      </c>
      <c r="E6" s="3" t="s">
        <v>39</v>
      </c>
      <c r="F6" s="3" t="s">
        <v>29</v>
      </c>
      <c r="G6" s="4" t="n">
        <v>10.64</v>
      </c>
      <c r="H6" s="3" t="n">
        <v>2</v>
      </c>
      <c r="I6" s="3" t="n">
        <v>1</v>
      </c>
      <c r="J6" s="5" t="n">
        <v>0.158</v>
      </c>
      <c r="K6" s="4" t="n">
        <v>1.97</v>
      </c>
      <c r="L6" s="4" t="n">
        <v>1.08</v>
      </c>
      <c r="M6" s="4" t="n">
        <v>0.98</v>
      </c>
      <c r="N6" s="4" t="n">
        <v>0.94</v>
      </c>
      <c r="O6" s="4" t="n">
        <v>0.92</v>
      </c>
      <c r="P6" s="4" t="n">
        <v>0.9</v>
      </c>
      <c r="Q6" s="4" t="n">
        <v>0.9</v>
      </c>
      <c r="R6" s="4" t="n">
        <v>0.91</v>
      </c>
      <c r="S6" s="4" t="n">
        <v>0.93</v>
      </c>
      <c r="T6" s="4" t="n">
        <v>1.11</v>
      </c>
      <c r="U6" s="4" t="n">
        <f aca="false">SUM(K6:P6)</f>
        <v>6.79</v>
      </c>
      <c r="V6" s="4" t="n">
        <f aca="false">SUM(Q6:T6)</f>
        <v>3.85</v>
      </c>
      <c r="W6" s="4" t="n">
        <v>11.05</v>
      </c>
      <c r="X6" s="3" t="s">
        <v>40</v>
      </c>
      <c r="Y6" s="3" t="s">
        <v>104</v>
      </c>
    </row>
    <row r="7" customFormat="false" ht="15" hidden="false" customHeight="false" outlineLevel="0" collapsed="false">
      <c r="A7" s="2" t="s">
        <v>105</v>
      </c>
      <c r="B7" s="2" t="s">
        <v>26</v>
      </c>
      <c r="C7" s="3" t="n">
        <v>1982</v>
      </c>
      <c r="D7" s="3" t="s">
        <v>106</v>
      </c>
      <c r="E7" s="3" t="s">
        <v>28</v>
      </c>
      <c r="F7" s="3" t="s">
        <v>29</v>
      </c>
      <c r="G7" s="4" t="n">
        <v>10.73</v>
      </c>
      <c r="H7" s="3" t="n">
        <v>0</v>
      </c>
      <c r="I7" s="3" t="n">
        <v>2</v>
      </c>
      <c r="J7" s="5" t="n">
        <v>0.152</v>
      </c>
      <c r="K7" s="4" t="n">
        <v>1.98</v>
      </c>
      <c r="L7" s="4" t="n">
        <v>1.09</v>
      </c>
      <c r="M7" s="4" t="n">
        <v>0.99</v>
      </c>
      <c r="N7" s="4" t="n">
        <v>0.96</v>
      </c>
      <c r="O7" s="4" t="n">
        <v>0.93</v>
      </c>
      <c r="P7" s="4" t="n">
        <v>0.91</v>
      </c>
      <c r="Q7" s="4" t="n">
        <v>0.91</v>
      </c>
      <c r="R7" s="4" t="n">
        <v>0.92</v>
      </c>
      <c r="S7" s="4" t="n">
        <v>0.94</v>
      </c>
      <c r="T7" s="4" t="n">
        <v>1.1</v>
      </c>
      <c r="U7" s="4" t="n">
        <f aca="false">SUM(K7:P7)</f>
        <v>6.86</v>
      </c>
      <c r="V7" s="4" t="n">
        <f aca="false">SUM(Q7:T7)</f>
        <v>3.87</v>
      </c>
      <c r="W7" s="4" t="n">
        <v>10.99</v>
      </c>
      <c r="X7" s="3" t="s">
        <v>57</v>
      </c>
      <c r="Y7" s="3" t="s">
        <v>31</v>
      </c>
    </row>
    <row r="8" customFormat="false" ht="15" hidden="false" customHeight="false" outlineLevel="0" collapsed="false">
      <c r="A8" s="2" t="s">
        <v>107</v>
      </c>
      <c r="B8" s="2" t="s">
        <v>26</v>
      </c>
      <c r="C8" s="3" t="n">
        <v>1986</v>
      </c>
      <c r="D8" s="3" t="s">
        <v>106</v>
      </c>
      <c r="E8" s="3" t="s">
        <v>28</v>
      </c>
      <c r="F8" s="3" t="s">
        <v>29</v>
      </c>
      <c r="G8" s="4" t="n">
        <v>10.73</v>
      </c>
      <c r="H8" s="3" t="n">
        <v>-0.2</v>
      </c>
      <c r="I8" s="3" t="n">
        <v>1</v>
      </c>
      <c r="J8" s="5" t="n">
        <v>0.191</v>
      </c>
      <c r="K8" s="4" t="n">
        <v>2.01</v>
      </c>
      <c r="L8" s="4" t="n">
        <v>1.09</v>
      </c>
      <c r="M8" s="4" t="n">
        <v>0.99</v>
      </c>
      <c r="N8" s="4" t="n">
        <v>0.95</v>
      </c>
      <c r="O8" s="4" t="n">
        <v>0.92</v>
      </c>
      <c r="P8" s="4" t="n">
        <v>0.91</v>
      </c>
      <c r="Q8" s="4" t="n">
        <v>0.91</v>
      </c>
      <c r="R8" s="4" t="n">
        <v>0.92</v>
      </c>
      <c r="S8" s="4" t="n">
        <v>0.93</v>
      </c>
      <c r="T8" s="4" t="n">
        <v>1.1</v>
      </c>
      <c r="U8" s="4" t="n">
        <f aca="false">SUM(K8:P8)</f>
        <v>6.87</v>
      </c>
      <c r="V8" s="4" t="n">
        <f aca="false">SUM(Q8:T8)</f>
        <v>3.86</v>
      </c>
      <c r="W8" s="4" t="n">
        <v>10.99</v>
      </c>
      <c r="X8" s="3" t="s">
        <v>61</v>
      </c>
      <c r="Y8" s="3" t="s">
        <v>31</v>
      </c>
    </row>
    <row r="9" customFormat="false" ht="15" hidden="false" customHeight="false" outlineLevel="0" collapsed="false">
      <c r="A9" s="2" t="s">
        <v>108</v>
      </c>
      <c r="B9" s="2" t="s">
        <v>37</v>
      </c>
      <c r="C9" s="3" t="n">
        <v>2000</v>
      </c>
      <c r="D9" s="3" t="s">
        <v>109</v>
      </c>
      <c r="E9" s="3" t="s">
        <v>83</v>
      </c>
      <c r="F9" s="3" t="s">
        <v>29</v>
      </c>
      <c r="G9" s="4" t="n">
        <v>10.72</v>
      </c>
      <c r="H9" s="3" t="n">
        <v>0.2</v>
      </c>
      <c r="I9" s="3" t="n">
        <v>1</v>
      </c>
      <c r="J9" s="5" t="n">
        <v>0.156</v>
      </c>
      <c r="K9" s="4" t="n">
        <v>1.97</v>
      </c>
      <c r="L9" s="4" t="n">
        <v>1.08</v>
      </c>
      <c r="M9" s="4" t="n">
        <v>0.98</v>
      </c>
      <c r="N9" s="4" t="n">
        <v>0.94</v>
      </c>
      <c r="O9" s="4" t="n">
        <v>0.92</v>
      </c>
      <c r="P9" s="4" t="n">
        <v>0.91</v>
      </c>
      <c r="Q9" s="4" t="n">
        <v>0.91</v>
      </c>
      <c r="R9" s="4" t="n">
        <v>0.92</v>
      </c>
      <c r="S9" s="4" t="n">
        <v>0.94</v>
      </c>
      <c r="T9" s="4" t="n">
        <v>1.15</v>
      </c>
      <c r="U9" s="4" t="n">
        <f aca="false">SUM(K9:P9)</f>
        <v>6.8</v>
      </c>
      <c r="V9" s="4" t="n">
        <f aca="false">SUM(Q9:T9)</f>
        <v>3.92</v>
      </c>
      <c r="W9" s="4" t="n">
        <v>10.99</v>
      </c>
      <c r="X9" s="3" t="s">
        <v>61</v>
      </c>
      <c r="Y9" s="3" t="s">
        <v>84</v>
      </c>
    </row>
    <row r="10" customFormat="false" ht="15" hidden="false" customHeight="false" outlineLevel="0" collapsed="false">
      <c r="A10" s="2" t="s">
        <v>110</v>
      </c>
      <c r="B10" s="2" t="s">
        <v>26</v>
      </c>
      <c r="C10" s="3" t="n">
        <v>1994</v>
      </c>
      <c r="D10" s="3" t="s">
        <v>111</v>
      </c>
      <c r="E10" s="3" t="s">
        <v>112</v>
      </c>
      <c r="F10" s="3" t="s">
        <v>29</v>
      </c>
      <c r="G10" s="4" t="n">
        <v>10.65</v>
      </c>
      <c r="H10" s="3" t="n">
        <v>1.2</v>
      </c>
      <c r="I10" s="3" t="n">
        <v>1</v>
      </c>
      <c r="J10" s="5" t="n">
        <v>0.162</v>
      </c>
      <c r="K10" s="4" t="n">
        <v>1.96</v>
      </c>
      <c r="L10" s="4" t="n">
        <v>1.07</v>
      </c>
      <c r="M10" s="4" t="n">
        <v>0.98</v>
      </c>
      <c r="N10" s="4" t="n">
        <v>0.94</v>
      </c>
      <c r="O10" s="4" t="n">
        <v>0.92</v>
      </c>
      <c r="P10" s="4" t="n">
        <v>0.91</v>
      </c>
      <c r="Q10" s="4" t="n">
        <v>0.9</v>
      </c>
      <c r="R10" s="4" t="n">
        <v>0.91</v>
      </c>
      <c r="S10" s="4" t="n">
        <v>0.93</v>
      </c>
      <c r="T10" s="4" t="n">
        <v>1.13</v>
      </c>
      <c r="U10" s="4" t="n">
        <f aca="false">SUM(K10:P10)</f>
        <v>6.78</v>
      </c>
      <c r="V10" s="4" t="n">
        <f aca="false">SUM(Q10:T10)</f>
        <v>3.87</v>
      </c>
      <c r="W10" s="4" t="n">
        <v>11</v>
      </c>
      <c r="X10" s="3" t="s">
        <v>48</v>
      </c>
      <c r="Y10" s="3" t="s">
        <v>113</v>
      </c>
    </row>
    <row r="11" customFormat="false" ht="15" hidden="false" customHeight="false" outlineLevel="0" collapsed="false">
      <c r="A11" s="2" t="s">
        <v>88</v>
      </c>
      <c r="B11" s="2" t="s">
        <v>37</v>
      </c>
      <c r="C11" s="3" t="n">
        <v>1959</v>
      </c>
      <c r="D11" s="3" t="s">
        <v>114</v>
      </c>
      <c r="E11" s="3" t="s">
        <v>70</v>
      </c>
      <c r="F11" s="3" t="s">
        <v>29</v>
      </c>
      <c r="G11" s="4" t="n">
        <v>10.54</v>
      </c>
      <c r="H11" s="3" t="n">
        <v>-1</v>
      </c>
      <c r="I11" s="3" t="n">
        <v>1</v>
      </c>
      <c r="J11" s="5" t="n">
        <v>0.131</v>
      </c>
      <c r="K11" s="4" t="n">
        <v>1.89</v>
      </c>
      <c r="L11" s="4" t="n">
        <v>1.06</v>
      </c>
      <c r="M11" s="4" t="n">
        <v>0.97</v>
      </c>
      <c r="N11" s="4" t="n">
        <v>0.94</v>
      </c>
      <c r="O11" s="4" t="n">
        <v>0.92</v>
      </c>
      <c r="P11" s="4" t="n">
        <v>0.91</v>
      </c>
      <c r="Q11" s="4" t="n">
        <v>0.91</v>
      </c>
      <c r="R11" s="4" t="n">
        <v>0.92</v>
      </c>
      <c r="S11" s="4" t="n">
        <v>0.94</v>
      </c>
      <c r="T11" s="4" t="n">
        <v>1.08</v>
      </c>
      <c r="U11" s="4" t="n">
        <f aca="false">SUM(K11:P11)</f>
        <v>6.69</v>
      </c>
      <c r="V11" s="4" t="n">
        <f aca="false">SUM(Q11:T11)</f>
        <v>3.85</v>
      </c>
      <c r="W11" s="4" t="n">
        <v>11.08</v>
      </c>
      <c r="X11" s="3" t="s">
        <v>34</v>
      </c>
      <c r="Y11" s="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14" min="8" style="0" width="12"/>
  </cols>
  <sheetData>
    <row r="1" customFormat="false" ht="23.85" hidden="false" customHeight="false" outlineLevel="0" collapsed="false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</row>
    <row r="2" customFormat="false" ht="15" hidden="false" customHeight="false" outlineLevel="0" collapsed="false">
      <c r="A2" s="2" t="s">
        <v>129</v>
      </c>
      <c r="B2" s="2" t="s">
        <v>130</v>
      </c>
      <c r="C2" s="4" t="n">
        <v>9.58</v>
      </c>
      <c r="D2" s="4" t="n">
        <v>39.56</v>
      </c>
      <c r="E2" s="4" t="n">
        <v>27.02</v>
      </c>
      <c r="F2" s="4" t="n">
        <v>17.22</v>
      </c>
      <c r="G2" s="4" t="n">
        <v>16.18</v>
      </c>
      <c r="H2" s="4" t="n">
        <f aca="false">C2*D2/100</f>
        <v>3.789848</v>
      </c>
      <c r="I2" s="4" t="n">
        <f aca="false">C2*E2/100</f>
        <v>2.588516</v>
      </c>
      <c r="J2" s="4" t="n">
        <f aca="false">C2*F2/100</f>
        <v>1.649676</v>
      </c>
      <c r="K2" s="4" t="n">
        <f aca="false">C2*G2/100</f>
        <v>1.550044</v>
      </c>
      <c r="L2" s="4" t="n">
        <f aca="false">H2+I2</f>
        <v>6.378364</v>
      </c>
      <c r="M2" s="4" t="n">
        <f aca="false">J2+K2</f>
        <v>3.19972</v>
      </c>
      <c r="N2" s="4" t="n">
        <f aca="false">M2-L2</f>
        <v>-3.178644</v>
      </c>
    </row>
    <row r="3" customFormat="false" ht="15" hidden="false" customHeight="false" outlineLevel="0" collapsed="false">
      <c r="A3" s="2" t="s">
        <v>131</v>
      </c>
      <c r="B3" s="2" t="s">
        <v>130</v>
      </c>
      <c r="C3" s="4" t="n">
        <v>9.8</v>
      </c>
      <c r="D3" s="4" t="n">
        <v>39.49</v>
      </c>
      <c r="E3" s="4" t="n">
        <v>27.14</v>
      </c>
      <c r="F3" s="4" t="n">
        <v>17.24</v>
      </c>
      <c r="G3" s="4" t="n">
        <v>16.12</v>
      </c>
      <c r="H3" s="4" t="n">
        <f aca="false">C3*D3/100</f>
        <v>3.87002</v>
      </c>
      <c r="I3" s="4" t="n">
        <f aca="false">C3*E3/100</f>
        <v>2.65972</v>
      </c>
      <c r="J3" s="4" t="n">
        <f aca="false">C3*F3/100</f>
        <v>1.68952</v>
      </c>
      <c r="K3" s="4" t="n">
        <f aca="false">C3*G3/100</f>
        <v>1.57976</v>
      </c>
      <c r="L3" s="4" t="n">
        <f aca="false">H3+I3</f>
        <v>6.52974</v>
      </c>
      <c r="M3" s="4" t="n">
        <f aca="false">J3+K3</f>
        <v>3.26928</v>
      </c>
      <c r="N3" s="4" t="n">
        <f aca="false">M3-L3</f>
        <v>-3.26046</v>
      </c>
    </row>
    <row r="4" customFormat="false" ht="15" hidden="false" customHeight="false" outlineLevel="0" collapsed="false">
      <c r="A4" s="2" t="s">
        <v>132</v>
      </c>
      <c r="B4" s="2" t="s">
        <v>130</v>
      </c>
      <c r="C4" s="4" t="n">
        <v>10</v>
      </c>
      <c r="D4" s="4" t="n">
        <v>39.5</v>
      </c>
      <c r="E4" s="4" t="n">
        <v>27.2</v>
      </c>
      <c r="F4" s="4" t="n">
        <v>17.2</v>
      </c>
      <c r="G4" s="4" t="n">
        <v>16.1</v>
      </c>
      <c r="H4" s="4" t="n">
        <f aca="false">C4*D4/100</f>
        <v>3.95</v>
      </c>
      <c r="I4" s="4" t="n">
        <f aca="false">C4*E4/100</f>
        <v>2.72</v>
      </c>
      <c r="J4" s="4" t="n">
        <f aca="false">C4*F4/100</f>
        <v>1.72</v>
      </c>
      <c r="K4" s="4" t="n">
        <f aca="false">C4*G4/100</f>
        <v>1.61</v>
      </c>
      <c r="L4" s="4" t="n">
        <f aca="false">H4+I4</f>
        <v>6.67</v>
      </c>
      <c r="M4" s="4" t="n">
        <f aca="false">J4+K4</f>
        <v>3.33</v>
      </c>
      <c r="N4" s="4" t="n">
        <f aca="false">M4-L4</f>
        <v>-3.34</v>
      </c>
    </row>
    <row r="5" customFormat="false" ht="15" hidden="false" customHeight="false" outlineLevel="0" collapsed="false">
      <c r="A5" s="2" t="s">
        <v>133</v>
      </c>
      <c r="B5" s="2" t="s">
        <v>130</v>
      </c>
      <c r="C5" s="4" t="n">
        <v>10.3</v>
      </c>
      <c r="D5" s="4" t="n">
        <v>39.61</v>
      </c>
      <c r="E5" s="4" t="n">
        <v>27.18</v>
      </c>
      <c r="F5" s="4" t="n">
        <v>17.09</v>
      </c>
      <c r="G5" s="4" t="n">
        <v>16.12</v>
      </c>
      <c r="H5" s="4" t="n">
        <f aca="false">C5*D5/100</f>
        <v>4.07983</v>
      </c>
      <c r="I5" s="4" t="n">
        <f aca="false">C5*E5/100</f>
        <v>2.79954</v>
      </c>
      <c r="J5" s="4" t="n">
        <f aca="false">C5*F5/100</f>
        <v>1.76027</v>
      </c>
      <c r="K5" s="4" t="n">
        <f aca="false">C5*G5/100</f>
        <v>1.66036</v>
      </c>
      <c r="L5" s="4" t="n">
        <f aca="false">H5+I5</f>
        <v>6.87937</v>
      </c>
      <c r="M5" s="4" t="n">
        <f aca="false">J5+K5</f>
        <v>3.42063</v>
      </c>
      <c r="N5" s="4" t="n">
        <f aca="false">M5-L5</f>
        <v>-3.45874</v>
      </c>
    </row>
    <row r="6" customFormat="false" ht="15" hidden="false" customHeight="false" outlineLevel="0" collapsed="false">
      <c r="A6" s="2" t="s">
        <v>134</v>
      </c>
      <c r="B6" s="2" t="s">
        <v>130</v>
      </c>
      <c r="C6" s="4" t="n">
        <v>10.55</v>
      </c>
      <c r="D6" s="4" t="n">
        <v>39.72</v>
      </c>
      <c r="E6" s="4" t="n">
        <v>27.11</v>
      </c>
      <c r="F6" s="4" t="n">
        <v>17.06</v>
      </c>
      <c r="G6" s="4" t="n">
        <v>16.11</v>
      </c>
      <c r="H6" s="4" t="n">
        <f aca="false">C6*D6/100</f>
        <v>4.19046</v>
      </c>
      <c r="I6" s="4" t="n">
        <f aca="false">C6*E6/100</f>
        <v>2.860105</v>
      </c>
      <c r="J6" s="4" t="n">
        <f aca="false">C6*F6/100</f>
        <v>1.79983</v>
      </c>
      <c r="K6" s="4" t="n">
        <f aca="false">C6*G6/100</f>
        <v>1.699605</v>
      </c>
      <c r="L6" s="4" t="n">
        <f aca="false">H6+I6</f>
        <v>7.050565</v>
      </c>
      <c r="M6" s="4" t="n">
        <f aca="false">J6+K6</f>
        <v>3.499435</v>
      </c>
      <c r="N6" s="4" t="n">
        <f aca="false">M6-L6</f>
        <v>-3.55113</v>
      </c>
    </row>
    <row r="7" customFormat="false" ht="15" hidden="false" customHeight="false" outlineLevel="0" collapsed="false">
      <c r="A7" s="2" t="s">
        <v>135</v>
      </c>
      <c r="B7" s="2" t="s">
        <v>130</v>
      </c>
      <c r="C7" s="4" t="n">
        <v>11</v>
      </c>
      <c r="D7" s="4" t="n">
        <v>39.82</v>
      </c>
      <c r="E7" s="4" t="n">
        <v>27.09</v>
      </c>
      <c r="F7" s="4" t="n">
        <v>17</v>
      </c>
      <c r="G7" s="4" t="n">
        <v>16.09</v>
      </c>
      <c r="H7" s="4" t="n">
        <f aca="false">C7*D7/100</f>
        <v>4.3802</v>
      </c>
      <c r="I7" s="4" t="n">
        <f aca="false">C7*E7/100</f>
        <v>2.9799</v>
      </c>
      <c r="J7" s="4" t="n">
        <f aca="false">C7*F7/100</f>
        <v>1.87</v>
      </c>
      <c r="K7" s="4" t="n">
        <f aca="false">C7*G7/100</f>
        <v>1.7699</v>
      </c>
      <c r="L7" s="4" t="n">
        <f aca="false">H7+I7</f>
        <v>7.3601</v>
      </c>
      <c r="M7" s="4" t="n">
        <f aca="false">J7+K7</f>
        <v>3.6399</v>
      </c>
      <c r="N7" s="4" t="n">
        <f aca="false">M7-L7</f>
        <v>-3.7202</v>
      </c>
    </row>
    <row r="8" customFormat="false" ht="15" hidden="false" customHeight="false" outlineLevel="0" collapsed="false">
      <c r="A8" s="2" t="s">
        <v>136</v>
      </c>
      <c r="B8" s="2" t="s">
        <v>130</v>
      </c>
      <c r="C8" s="4" t="n">
        <v>12.25</v>
      </c>
      <c r="D8" s="4" t="n">
        <v>40</v>
      </c>
      <c r="E8" s="4" t="n">
        <v>27.02</v>
      </c>
      <c r="F8" s="4" t="n">
        <v>16.9</v>
      </c>
      <c r="G8" s="4" t="n">
        <v>16.08</v>
      </c>
      <c r="H8" s="4" t="n">
        <f aca="false">C8*D8/100</f>
        <v>4.9</v>
      </c>
      <c r="I8" s="4" t="n">
        <f aca="false">C8*E8/100</f>
        <v>3.30995</v>
      </c>
      <c r="J8" s="4" t="n">
        <f aca="false">C8*F8/100</f>
        <v>2.07025</v>
      </c>
      <c r="K8" s="4" t="n">
        <f aca="false">C8*G8/100</f>
        <v>1.9698</v>
      </c>
      <c r="L8" s="4" t="n">
        <f aca="false">H8+I8</f>
        <v>8.20995</v>
      </c>
      <c r="M8" s="4" t="n">
        <f aca="false">J8+K8</f>
        <v>4.04005</v>
      </c>
      <c r="N8" s="4" t="n">
        <f aca="false">M8-L8</f>
        <v>-4.1699</v>
      </c>
    </row>
    <row r="9" customFormat="false" ht="15" hidden="false" customHeight="false" outlineLevel="0" collapsed="false">
      <c r="A9" s="2" t="s">
        <v>137</v>
      </c>
      <c r="B9" s="2" t="s">
        <v>130</v>
      </c>
      <c r="C9" s="4" t="n">
        <v>13.5</v>
      </c>
      <c r="D9" s="4" t="n">
        <v>40.22</v>
      </c>
      <c r="E9" s="4" t="n">
        <v>26.96</v>
      </c>
      <c r="F9" s="4" t="n">
        <v>16.74</v>
      </c>
      <c r="G9" s="4" t="n">
        <v>16.07</v>
      </c>
      <c r="H9" s="4" t="n">
        <f aca="false">C9*D9/100</f>
        <v>5.4297</v>
      </c>
      <c r="I9" s="4" t="n">
        <f aca="false">C9*E9/100</f>
        <v>3.6396</v>
      </c>
      <c r="J9" s="4" t="n">
        <f aca="false">C9*F9/100</f>
        <v>2.2599</v>
      </c>
      <c r="K9" s="4" t="n">
        <f aca="false">C9*G9/100</f>
        <v>2.16945</v>
      </c>
      <c r="L9" s="4" t="n">
        <f aca="false">H9+I9</f>
        <v>9.0693</v>
      </c>
      <c r="M9" s="4" t="n">
        <f aca="false">J9+K9</f>
        <v>4.42935</v>
      </c>
      <c r="N9" s="4" t="n">
        <f aca="false">M9-L9</f>
        <v>-4.63995</v>
      </c>
    </row>
    <row r="10" customFormat="false" ht="15" hidden="false" customHeight="false" outlineLevel="0" collapsed="false">
      <c r="A10" s="2" t="s">
        <v>129</v>
      </c>
      <c r="B10" s="2" t="s">
        <v>138</v>
      </c>
      <c r="C10" s="4" t="n">
        <v>10.49</v>
      </c>
      <c r="D10" s="4" t="n">
        <v>38.89</v>
      </c>
      <c r="E10" s="4" t="n">
        <v>27.36</v>
      </c>
      <c r="F10" s="4" t="n">
        <v>17.26</v>
      </c>
      <c r="G10" s="4" t="n">
        <v>16.49</v>
      </c>
      <c r="H10" s="4" t="n">
        <f aca="false">C10*D10/100</f>
        <v>4.079561</v>
      </c>
      <c r="I10" s="4" t="n">
        <f aca="false">C10*E10/100</f>
        <v>2.870064</v>
      </c>
      <c r="J10" s="4" t="n">
        <f aca="false">C10*F10/100</f>
        <v>1.810574</v>
      </c>
      <c r="K10" s="4" t="n">
        <f aca="false">C10*G10/100</f>
        <v>1.729801</v>
      </c>
      <c r="L10" s="4" t="n">
        <f aca="false">H10+I10</f>
        <v>6.949625</v>
      </c>
      <c r="M10" s="4" t="n">
        <f aca="false">J10+K10</f>
        <v>3.540375</v>
      </c>
      <c r="N10" s="4" t="n">
        <f aca="false">M10-L10</f>
        <v>-3.40925</v>
      </c>
    </row>
    <row r="11" customFormat="false" ht="15" hidden="false" customHeight="false" outlineLevel="0" collapsed="false">
      <c r="A11" s="2" t="s">
        <v>139</v>
      </c>
      <c r="B11" s="2" t="s">
        <v>138</v>
      </c>
      <c r="C11" s="4" t="n">
        <v>10.7</v>
      </c>
      <c r="D11" s="4" t="n">
        <v>38.97</v>
      </c>
      <c r="E11" s="4" t="n">
        <v>27.29</v>
      </c>
      <c r="F11" s="4" t="n">
        <v>17.29</v>
      </c>
      <c r="G11" s="4" t="n">
        <v>16.45</v>
      </c>
      <c r="H11" s="4" t="n">
        <f aca="false">C11*D11/100</f>
        <v>4.16979</v>
      </c>
      <c r="I11" s="4" t="n">
        <f aca="false">C11*E11/100</f>
        <v>2.92003</v>
      </c>
      <c r="J11" s="4" t="n">
        <f aca="false">C11*F11/100</f>
        <v>1.85003</v>
      </c>
      <c r="K11" s="4" t="n">
        <f aca="false">C11*G11/100</f>
        <v>1.76015</v>
      </c>
      <c r="L11" s="4" t="n">
        <f aca="false">H11+I11</f>
        <v>7.08982</v>
      </c>
      <c r="M11" s="4" t="n">
        <f aca="false">J11+K11</f>
        <v>3.61018</v>
      </c>
      <c r="N11" s="4" t="n">
        <f aca="false">M11-L11</f>
        <v>-3.47964</v>
      </c>
    </row>
    <row r="12" customFormat="false" ht="15" hidden="false" customHeight="false" outlineLevel="0" collapsed="false">
      <c r="A12" s="2" t="s">
        <v>140</v>
      </c>
      <c r="B12" s="2" t="s">
        <v>138</v>
      </c>
      <c r="C12" s="4" t="n">
        <v>10.95</v>
      </c>
      <c r="D12" s="4" t="n">
        <v>39.09</v>
      </c>
      <c r="E12" s="4" t="n">
        <v>27.21</v>
      </c>
      <c r="F12" s="4" t="n">
        <v>17.26</v>
      </c>
      <c r="G12" s="4" t="n">
        <v>16.44</v>
      </c>
      <c r="H12" s="4" t="n">
        <f aca="false">C12*D12/100</f>
        <v>4.280355</v>
      </c>
      <c r="I12" s="4" t="n">
        <f aca="false">C12*E12/100</f>
        <v>2.979495</v>
      </c>
      <c r="J12" s="4" t="n">
        <f aca="false">C12*F12/100</f>
        <v>1.88997</v>
      </c>
      <c r="K12" s="4" t="n">
        <f aca="false">C12*G12/100</f>
        <v>1.80018</v>
      </c>
      <c r="L12" s="4" t="n">
        <f aca="false">H12+I12</f>
        <v>7.25985</v>
      </c>
      <c r="M12" s="4" t="n">
        <f aca="false">J12+K12</f>
        <v>3.69015</v>
      </c>
      <c r="N12" s="4" t="n">
        <f aca="false">M12-L12</f>
        <v>-3.5697</v>
      </c>
    </row>
    <row r="13" customFormat="false" ht="15" hidden="false" customHeight="false" outlineLevel="0" collapsed="false">
      <c r="A13" s="2" t="s">
        <v>141</v>
      </c>
      <c r="B13" s="2" t="s">
        <v>138</v>
      </c>
      <c r="C13" s="4" t="n">
        <v>11.3</v>
      </c>
      <c r="D13" s="4" t="n">
        <v>39.2</v>
      </c>
      <c r="E13" s="4" t="n">
        <v>27.17</v>
      </c>
      <c r="F13" s="4" t="n">
        <v>17.17</v>
      </c>
      <c r="G13" s="4" t="n">
        <v>16.46</v>
      </c>
      <c r="H13" s="4" t="n">
        <f aca="false">C13*D13/100</f>
        <v>4.4296</v>
      </c>
      <c r="I13" s="4" t="n">
        <f aca="false">C13*E13/100</f>
        <v>3.07021</v>
      </c>
      <c r="J13" s="4" t="n">
        <f aca="false">C13*F13/100</f>
        <v>1.94021</v>
      </c>
      <c r="K13" s="4" t="n">
        <f aca="false">C13*G13/100</f>
        <v>1.85998</v>
      </c>
      <c r="L13" s="4" t="n">
        <f aca="false">H13+I13</f>
        <v>7.49981</v>
      </c>
      <c r="M13" s="4" t="n">
        <f aca="false">J13+K13</f>
        <v>3.80019</v>
      </c>
      <c r="N13" s="4" t="n">
        <f aca="false">M13-L13</f>
        <v>-3.69962</v>
      </c>
    </row>
    <row r="14" customFormat="false" ht="15" hidden="false" customHeight="false" outlineLevel="0" collapsed="false">
      <c r="A14" s="2" t="s">
        <v>142</v>
      </c>
      <c r="B14" s="2" t="s">
        <v>138</v>
      </c>
      <c r="C14" s="4" t="n">
        <v>11.65</v>
      </c>
      <c r="D14" s="4" t="n">
        <v>39.31</v>
      </c>
      <c r="E14" s="4" t="n">
        <v>27.12</v>
      </c>
      <c r="F14" s="4" t="n">
        <v>17.08</v>
      </c>
      <c r="G14" s="4" t="n">
        <v>16.49</v>
      </c>
      <c r="H14" s="4" t="n">
        <f aca="false">C14*D14/100</f>
        <v>4.579615</v>
      </c>
      <c r="I14" s="4" t="n">
        <f aca="false">C14*E14/100</f>
        <v>3.15948</v>
      </c>
      <c r="J14" s="4" t="n">
        <f aca="false">C14*F14/100</f>
        <v>1.98982</v>
      </c>
      <c r="K14" s="4" t="n">
        <f aca="false">C14*G14/100</f>
        <v>1.921085</v>
      </c>
      <c r="L14" s="4" t="n">
        <f aca="false">H14+I14</f>
        <v>7.739095</v>
      </c>
      <c r="M14" s="4" t="n">
        <f aca="false">J14+K14</f>
        <v>3.910905</v>
      </c>
      <c r="N14" s="4" t="n">
        <f aca="false">M14-L14</f>
        <v>-3.82819</v>
      </c>
    </row>
    <row r="15" customFormat="false" ht="15" hidden="false" customHeight="false" outlineLevel="0" collapsed="false">
      <c r="A15" s="2" t="s">
        <v>143</v>
      </c>
      <c r="B15" s="2" t="s">
        <v>138</v>
      </c>
      <c r="C15" s="4" t="n">
        <v>12.5</v>
      </c>
      <c r="D15" s="4" t="n">
        <v>39.52</v>
      </c>
      <c r="E15" s="4" t="n">
        <v>27.04</v>
      </c>
      <c r="F15" s="4" t="n">
        <v>16.96</v>
      </c>
      <c r="G15" s="4" t="n">
        <v>16.48</v>
      </c>
      <c r="H15" s="4" t="n">
        <f aca="false">C15*D15/100</f>
        <v>4.94</v>
      </c>
      <c r="I15" s="4" t="n">
        <f aca="false">C15*E15/100</f>
        <v>3.38</v>
      </c>
      <c r="J15" s="4" t="n">
        <f aca="false">C15*F15/100</f>
        <v>2.12</v>
      </c>
      <c r="K15" s="4" t="n">
        <f aca="false">C15*G15/100</f>
        <v>2.06</v>
      </c>
      <c r="L15" s="4" t="n">
        <f aca="false">H15+I15</f>
        <v>8.32</v>
      </c>
      <c r="M15" s="4" t="n">
        <f aca="false">J15+K15</f>
        <v>4.18</v>
      </c>
      <c r="N15" s="4" t="n">
        <f aca="false">M15-L15</f>
        <v>-4.14</v>
      </c>
    </row>
    <row r="16" customFormat="false" ht="15" hidden="false" customHeight="false" outlineLevel="0" collapsed="false">
      <c r="A16" s="2" t="s">
        <v>144</v>
      </c>
      <c r="B16" s="2" t="s">
        <v>138</v>
      </c>
      <c r="C16" s="4" t="n">
        <v>14</v>
      </c>
      <c r="D16" s="4" t="n">
        <v>39.79</v>
      </c>
      <c r="E16" s="4" t="n">
        <v>26.93</v>
      </c>
      <c r="F16" s="4" t="n">
        <v>16.79</v>
      </c>
      <c r="G16" s="4" t="n">
        <v>16.5</v>
      </c>
      <c r="H16" s="4" t="n">
        <f aca="false">C16*D16/100</f>
        <v>5.5706</v>
      </c>
      <c r="I16" s="4" t="n">
        <f aca="false">C16*E16/100</f>
        <v>3.7702</v>
      </c>
      <c r="J16" s="4" t="n">
        <f aca="false">C16*F16/100</f>
        <v>2.3506</v>
      </c>
      <c r="K16" s="4" t="n">
        <f aca="false">C16*G16/100</f>
        <v>2.31</v>
      </c>
      <c r="L16" s="4" t="n">
        <f aca="false">H16+I16</f>
        <v>9.3408</v>
      </c>
      <c r="M16" s="4" t="n">
        <f aca="false">J16+K16</f>
        <v>4.6606</v>
      </c>
      <c r="N16" s="4" t="n">
        <f aca="false">M16-L16</f>
        <v>-4.6802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6" t="s">
        <v>145</v>
      </c>
    </row>
    <row r="3" customFormat="false" ht="15" hidden="false" customHeight="false" outlineLevel="0" collapsed="false">
      <c r="A3" s="0" t="s">
        <v>146</v>
      </c>
      <c r="C3" s="7" t="n">
        <v>10.5</v>
      </c>
    </row>
    <row r="4" customFormat="false" ht="15" hidden="false" customHeight="false" outlineLevel="0" collapsed="false">
      <c r="A4" s="0" t="s">
        <v>147</v>
      </c>
      <c r="C4" s="7" t="s">
        <v>148</v>
      </c>
    </row>
    <row r="6" customFormat="false" ht="15" hidden="false" customHeight="false" outlineLevel="0" collapsed="false">
      <c r="A6" s="8" t="s">
        <v>149</v>
      </c>
    </row>
    <row r="7" customFormat="false" ht="15" hidden="false" customHeight="false" outlineLevel="0" collapsed="false">
      <c r="A7" s="1" t="s">
        <v>150</v>
      </c>
      <c r="B7" s="1" t="s">
        <v>151</v>
      </c>
      <c r="C7" s="1" t="s">
        <v>152</v>
      </c>
      <c r="D7" s="1" t="s">
        <v>153</v>
      </c>
      <c r="E7" s="1" t="s">
        <v>154</v>
      </c>
    </row>
    <row r="8" customFormat="false" ht="15" hidden="false" customHeight="false" outlineLevel="0" collapsed="false">
      <c r="A8" s="2" t="s">
        <v>155</v>
      </c>
      <c r="B8" s="2" t="n">
        <f aca="false">IF(C4="M",C3*0.395,C3*0.3909)</f>
        <v>4.1475</v>
      </c>
      <c r="C8" s="3" t="n">
        <f aca="false">B8</f>
        <v>4.1475</v>
      </c>
      <c r="D8" s="3" t="n">
        <f aca="false">30/B8</f>
        <v>7.23327305605787</v>
      </c>
      <c r="E8" s="3" t="n">
        <f aca="false">B8/C3*100</f>
        <v>39.5</v>
      </c>
    </row>
    <row r="9" customFormat="false" ht="15" hidden="false" customHeight="false" outlineLevel="0" collapsed="false">
      <c r="A9" s="2" t="s">
        <v>156</v>
      </c>
      <c r="B9" s="2" t="n">
        <f aca="false">IF(C4="M",C3*0.2714,C3*0.2729)</f>
        <v>2.8497</v>
      </c>
      <c r="C9" s="3" t="n">
        <f aca="false">C8+B9</f>
        <v>6.9972</v>
      </c>
      <c r="D9" s="3" t="n">
        <f aca="false">30/B9</f>
        <v>10.527423939362</v>
      </c>
      <c r="E9" s="3" t="n">
        <f aca="false">B9/C3*100</f>
        <v>27.14</v>
      </c>
    </row>
    <row r="10" customFormat="false" ht="15" hidden="false" customHeight="false" outlineLevel="0" collapsed="false">
      <c r="A10" s="2" t="s">
        <v>157</v>
      </c>
      <c r="B10" s="2" t="n">
        <f aca="false">IF(C4="M",C3*0.1724,C3*0.1726)</f>
        <v>1.8102</v>
      </c>
      <c r="C10" s="3" t="n">
        <f aca="false">C9+B10</f>
        <v>8.8074</v>
      </c>
      <c r="D10" s="3" t="n">
        <f aca="false">20/B10</f>
        <v>11.0485029278533</v>
      </c>
      <c r="E10" s="3" t="n">
        <f aca="false">B10/C3*100</f>
        <v>17.24</v>
      </c>
    </row>
    <row r="11" customFormat="false" ht="15" hidden="false" customHeight="false" outlineLevel="0" collapsed="false">
      <c r="A11" s="2" t="s">
        <v>158</v>
      </c>
      <c r="B11" s="2" t="n">
        <f aca="false">IF(C4="M",C3*0.1612,C3*0.1645)</f>
        <v>1.6926</v>
      </c>
      <c r="C11" s="3" t="n">
        <f aca="false">C10+B11</f>
        <v>10.5</v>
      </c>
      <c r="D11" s="3" t="n">
        <f aca="false">20/B11</f>
        <v>11.8161408483989</v>
      </c>
      <c r="E11" s="3" t="n">
        <f aca="false">B11/C3*100</f>
        <v>16.12</v>
      </c>
    </row>
    <row r="12" customFormat="false" ht="15" hidden="false" customHeight="false" outlineLevel="0" collapsed="false">
      <c r="A12" s="8" t="s">
        <v>159</v>
      </c>
      <c r="B12" s="9" t="n">
        <f aca="false">SUM(B8:B11)</f>
        <v>10.5</v>
      </c>
      <c r="C12" s="9" t="n">
        <f aca="false">C11</f>
        <v>10.5</v>
      </c>
    </row>
    <row r="14" customFormat="false" ht="15" hidden="false" customHeight="false" outlineLevel="0" collapsed="false">
      <c r="A14" s="0" t="s">
        <v>20</v>
      </c>
      <c r="B14" s="0" t="n">
        <f aca="false">B8+B9</f>
        <v>6.9972</v>
      </c>
    </row>
    <row r="15" customFormat="false" ht="15" hidden="false" customHeight="false" outlineLevel="0" collapsed="false">
      <c r="A15" s="0" t="s">
        <v>21</v>
      </c>
      <c r="B15" s="0" t="n">
        <f aca="false">B10+B11</f>
        <v>3.5028</v>
      </c>
    </row>
    <row r="16" customFormat="false" ht="15" hidden="false" customHeight="false" outlineLevel="0" collapsed="false">
      <c r="A16" s="0" t="s">
        <v>160</v>
      </c>
      <c r="B16" s="0" t="n">
        <f aca="false">20/MIN(B10,B11)</f>
        <v>11.8161408483989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6" t="s">
        <v>161</v>
      </c>
    </row>
    <row r="3" customFormat="false" ht="15" hidden="false" customHeight="false" outlineLevel="0" collapsed="false">
      <c r="A3" s="8" t="s">
        <v>162</v>
      </c>
      <c r="B3" s="10" t="s">
        <v>163</v>
      </c>
      <c r="C3" s="10" t="s">
        <v>164</v>
      </c>
    </row>
    <row r="4" customFormat="false" ht="15" hidden="false" customHeight="false" outlineLevel="0" collapsed="false">
      <c r="A4" s="10"/>
      <c r="B4" s="10" t="s">
        <v>165</v>
      </c>
      <c r="C4" s="10" t="s">
        <v>166</v>
      </c>
    </row>
    <row r="5" customFormat="false" ht="15" hidden="false" customHeight="false" outlineLevel="0" collapsed="false">
      <c r="A5" s="10"/>
      <c r="B5" s="10" t="s">
        <v>167</v>
      </c>
      <c r="C5" s="10" t="s">
        <v>168</v>
      </c>
    </row>
    <row r="6" customFormat="false" ht="15" hidden="false" customHeight="false" outlineLevel="0" collapsed="false">
      <c r="A6" s="8" t="s">
        <v>169</v>
      </c>
      <c r="B6" s="10" t="s">
        <v>170</v>
      </c>
      <c r="C6" s="10" t="s">
        <v>171</v>
      </c>
    </row>
    <row r="7" customFormat="false" ht="15" hidden="false" customHeight="false" outlineLevel="0" collapsed="false">
      <c r="A7" s="10"/>
      <c r="B7" s="10" t="s">
        <v>84</v>
      </c>
      <c r="C7" s="10" t="s">
        <v>172</v>
      </c>
    </row>
    <row r="8" customFormat="false" ht="15" hidden="false" customHeight="false" outlineLevel="0" collapsed="false">
      <c r="A8" s="10"/>
      <c r="B8" s="10" t="s">
        <v>173</v>
      </c>
      <c r="C8" s="10" t="s">
        <v>174</v>
      </c>
    </row>
    <row r="9" customFormat="false" ht="15" hidden="false" customHeight="false" outlineLevel="0" collapsed="false">
      <c r="A9" s="8" t="s">
        <v>175</v>
      </c>
      <c r="B9" s="10" t="s">
        <v>176</v>
      </c>
      <c r="C9" s="10" t="s">
        <v>177</v>
      </c>
    </row>
    <row r="10" customFormat="false" ht="15" hidden="false" customHeight="false" outlineLevel="0" collapsed="false">
      <c r="A10" s="10"/>
      <c r="B10" s="10" t="s">
        <v>178</v>
      </c>
      <c r="C10" s="10" t="s">
        <v>179</v>
      </c>
    </row>
    <row r="11" customFormat="false" ht="15" hidden="false" customHeight="false" outlineLevel="0" collapsed="false">
      <c r="A11" s="10"/>
      <c r="B11" s="10" t="s">
        <v>180</v>
      </c>
      <c r="C11" s="10" t="s">
        <v>181</v>
      </c>
    </row>
    <row r="12" customFormat="false" ht="15" hidden="false" customHeight="false" outlineLevel="0" collapsed="false">
      <c r="A12" s="10"/>
      <c r="B12" s="10"/>
      <c r="C12" s="10"/>
    </row>
    <row r="13" customFormat="false" ht="15" hidden="false" customHeight="false" outlineLevel="0" collapsed="false">
      <c r="A13" s="8" t="s">
        <v>182</v>
      </c>
      <c r="B13" s="10"/>
      <c r="C13" s="10"/>
    </row>
    <row r="14" customFormat="false" ht="15" hidden="false" customHeight="false" outlineLevel="0" collapsed="false">
      <c r="A14" s="10"/>
      <c r="B14" s="10" t="s">
        <v>183</v>
      </c>
      <c r="C14" s="10"/>
    </row>
    <row r="15" customFormat="false" ht="15" hidden="false" customHeight="false" outlineLevel="0" collapsed="false">
      <c r="A15" s="10"/>
      <c r="B15" s="10" t="s">
        <v>184</v>
      </c>
      <c r="C15" s="10"/>
    </row>
    <row r="16" customFormat="false" ht="15" hidden="false" customHeight="false" outlineLevel="0" collapsed="false">
      <c r="A16" s="10"/>
      <c r="B16" s="10" t="s">
        <v>185</v>
      </c>
      <c r="C16" s="10"/>
    </row>
    <row r="17" customFormat="false" ht="15" hidden="false" customHeight="false" outlineLevel="0" collapsed="false">
      <c r="A17" s="10"/>
      <c r="B17" s="10" t="s">
        <v>186</v>
      </c>
      <c r="C17" s="10"/>
    </row>
    <row r="18" customFormat="false" ht="15" hidden="false" customHeight="false" outlineLevel="0" collapsed="false">
      <c r="A18" s="10"/>
      <c r="B18" s="10" t="s">
        <v>187</v>
      </c>
      <c r="C18" s="10"/>
    </row>
    <row r="19" customFormat="false" ht="15" hidden="false" customHeight="false" outlineLevel="0" collapsed="false">
      <c r="A19" s="10"/>
      <c r="B19" s="10" t="s">
        <v>188</v>
      </c>
      <c r="C19" s="10"/>
    </row>
    <row r="20" customFormat="false" ht="15" hidden="false" customHeight="false" outlineLevel="0" collapsed="false">
      <c r="A20" s="10"/>
      <c r="B20" s="10" t="s">
        <v>189</v>
      </c>
      <c r="C2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2026-03-21T13:18:20Z</dcterms:created>
  <dc:creator>openpyxl</dc:creator>
  <dc:description/>
  <dc:language>en-US</dc:language>
  <cp:lastModifiedBy/>
  <dcterms:modified xsi:type="dcterms:W3CDTF">2026-03-21T13:18:20Z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