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n 800m Splits" sheetId="1" state="visible" r:id="rId3"/>
    <sheet name="Women 800m Splits" sheetId="2" state="visible" r:id="rId4"/>
    <sheet name="Pacing Model" sheetId="3" state="visible" r:id="rId5"/>
    <sheet name="Pace Calculator" sheetId="4" state="visible" r:id="rId6"/>
    <sheet name="Sources &amp; Note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<sst xmlns="http://schemas.openxmlformats.org/spreadsheetml/2006/main" count="269" uniqueCount="169">
  <si>
    <t xml:space="preserve">Athlete</t>
  </si>
  <si>
    <t xml:space="preserve">Nationality</t>
  </si>
  <si>
    <t xml:space="preserve">Birth Year</t>
  </si>
  <si>
    <t xml:space="preserve">Date</t>
  </si>
  <si>
    <t xml:space="preserve">Competition</t>
  </si>
  <si>
    <t xml:space="preserve">Round</t>
  </si>
  <si>
    <t xml:space="preserve">Official Time (s)</t>
  </si>
  <si>
    <t xml:space="preserve">Place</t>
  </si>
  <si>
    <t xml:space="preserve">0-200m (s)</t>
  </si>
  <si>
    <t xml:space="preserve">200-400m (s)</t>
  </si>
  <si>
    <t xml:space="preserve">400-600m (s)</t>
  </si>
  <si>
    <t xml:space="preserve">600-800m (s)</t>
  </si>
  <si>
    <t xml:space="preserve">0-400m (s)</t>
  </si>
  <si>
    <t xml:space="preserve">400-800m (s)</t>
  </si>
  <si>
    <t xml:space="preserve">Differential (s)</t>
  </si>
  <si>
    <t xml:space="preserve">% 0-200</t>
  </si>
  <si>
    <t xml:space="preserve">% 200-400</t>
  </si>
  <si>
    <t xml:space="preserve">% 400-600</t>
  </si>
  <si>
    <t xml:space="preserve">% 600-800</t>
  </si>
  <si>
    <t xml:space="preserve">Record Type</t>
  </si>
  <si>
    <t xml:space="preserve">Source</t>
  </si>
  <si>
    <t xml:space="preserve">Rudisha, David</t>
  </si>
  <si>
    <t xml:space="preserve">KEN</t>
  </si>
  <si>
    <t xml:space="preserve">2012-08-09</t>
  </si>
  <si>
    <t xml:space="preserve">Olympic Games London</t>
  </si>
  <si>
    <t xml:space="preserve">Final</t>
  </si>
  <si>
    <t xml:space="preserve">WR</t>
  </si>
  <si>
    <t xml:space="preserve">IAAF/World Athletics</t>
  </si>
  <si>
    <t xml:space="preserve">2010-08-29</t>
  </si>
  <si>
    <t xml:space="preserve">ISTAF Berlin</t>
  </si>
  <si>
    <t xml:space="preserve">IAAF Timing</t>
  </si>
  <si>
    <t xml:space="preserve">2010-08-22</t>
  </si>
  <si>
    <t xml:space="preserve">Rieti Grand Prix</t>
  </si>
  <si>
    <t xml:space="preserve">Amos, Nijel</t>
  </si>
  <si>
    <t xml:space="preserve">BOT</t>
  </si>
  <si>
    <t xml:space="preserve">WJR/NR</t>
  </si>
  <si>
    <t xml:space="preserve">Kipketer, Wilson</t>
  </si>
  <si>
    <t xml:space="preserve">DEN</t>
  </si>
  <si>
    <t xml:space="preserve">1997-08-24</t>
  </si>
  <si>
    <t xml:space="preserve">World Championships Athens</t>
  </si>
  <si>
    <t xml:space="preserve">Coe, Sebastian</t>
  </si>
  <si>
    <t xml:space="preserve">GBR</t>
  </si>
  <si>
    <t xml:space="preserve">1981-06-10</t>
  </si>
  <si>
    <t xml:space="preserve">Bislett Games Oslo</t>
  </si>
  <si>
    <t xml:space="preserve">Butler (2016)</t>
  </si>
  <si>
    <t xml:space="preserve">Korir, Emmanuel</t>
  </si>
  <si>
    <t xml:space="preserve">2021-08-04</t>
  </si>
  <si>
    <t xml:space="preserve">Olympic Games Tokyo</t>
  </si>
  <si>
    <t xml:space="preserve">SB</t>
  </si>
  <si>
    <t xml:space="preserve">Omega Timing (2021)</t>
  </si>
  <si>
    <t xml:space="preserve">Bol, Peter</t>
  </si>
  <si>
    <t xml:space="preserve">AUS</t>
  </si>
  <si>
    <t xml:space="preserve">AR</t>
  </si>
  <si>
    <t xml:space="preserve">Rotich, Ferguson</t>
  </si>
  <si>
    <t xml:space="preserve">2019-10-01</t>
  </si>
  <si>
    <t xml:space="preserve">World Championships Doha</t>
  </si>
  <si>
    <t xml:space="preserve">PB</t>
  </si>
  <si>
    <t xml:space="preserve">Omega Timing (2019)</t>
  </si>
  <si>
    <t xml:space="preserve">Murphy, Clayton</t>
  </si>
  <si>
    <t xml:space="preserve">USA</t>
  </si>
  <si>
    <t xml:space="preserve">2016-08-15</t>
  </si>
  <si>
    <t xml:space="preserve">Olympic Games Rio</t>
  </si>
  <si>
    <t xml:space="preserve">Rio 2016 Results Book</t>
  </si>
  <si>
    <t xml:space="preserve">Juantorena, Alberto</t>
  </si>
  <si>
    <t xml:space="preserve">CUB</t>
  </si>
  <si>
    <t xml:space="preserve">1976-07-25</t>
  </si>
  <si>
    <t xml:space="preserve">Olympic Games Montreal</t>
  </si>
  <si>
    <t xml:space="preserve">IAAF Historical</t>
  </si>
  <si>
    <t xml:space="preserve">Ingebrigtsen, Jakob</t>
  </si>
  <si>
    <t xml:space="preserve">NOR</t>
  </si>
  <si>
    <t xml:space="preserve">2024-08-10</t>
  </si>
  <si>
    <t xml:space="preserve">Olympic Games Paris</t>
  </si>
  <si>
    <t xml:space="preserve">NR</t>
  </si>
  <si>
    <t xml:space="preserve">Paris 2024 Results Book</t>
  </si>
  <si>
    <t xml:space="preserve">Arop, Marco</t>
  </si>
  <si>
    <t xml:space="preserve">CAN</t>
  </si>
  <si>
    <t xml:space="preserve">Kratochvilova, Jarmila</t>
  </si>
  <si>
    <t xml:space="preserve">TCH</t>
  </si>
  <si>
    <t xml:space="preserve">1983-07-26</t>
  </si>
  <si>
    <t xml:space="preserve">Munich Grand Prix</t>
  </si>
  <si>
    <t xml:space="preserve">Semenya, Caster</t>
  </si>
  <si>
    <t xml:space="preserve">RSA</t>
  </si>
  <si>
    <t xml:space="preserve">2018-04-30</t>
  </si>
  <si>
    <t xml:space="preserve">Diamond League Doha</t>
  </si>
  <si>
    <t xml:space="preserve">NR/PB</t>
  </si>
  <si>
    <t xml:space="preserve">Omega Timing (2018)</t>
  </si>
  <si>
    <t xml:space="preserve">Mutola, Maria</t>
  </si>
  <si>
    <t xml:space="preserve">MOZ</t>
  </si>
  <si>
    <t xml:space="preserve">2002-09-07</t>
  </si>
  <si>
    <t xml:space="preserve">Memorial Van Damme Brussels</t>
  </si>
  <si>
    <t xml:space="preserve">Omega Timing (2002)</t>
  </si>
  <si>
    <t xml:space="preserve">Hodgkinson, Keely</t>
  </si>
  <si>
    <t xml:space="preserve">2024-08-05</t>
  </si>
  <si>
    <t xml:space="preserve">Mu, Athing</t>
  </si>
  <si>
    <t xml:space="preserve">Holmes, Kelly</t>
  </si>
  <si>
    <t xml:space="preserve">2004-08-23</t>
  </si>
  <si>
    <t xml:space="preserve">Olympic Games Athens</t>
  </si>
  <si>
    <t xml:space="preserve">IAAF (2004)</t>
  </si>
  <si>
    <t xml:space="preserve">Masterkova, Svetlana</t>
  </si>
  <si>
    <t xml:space="preserve">RUS</t>
  </si>
  <si>
    <t xml:space="preserve">1999-08-23</t>
  </si>
  <si>
    <t xml:space="preserve">World Championships Seville</t>
  </si>
  <si>
    <t xml:space="preserve">IAAF (1999)</t>
  </si>
  <si>
    <t xml:space="preserve">Jelimo, Pamela</t>
  </si>
  <si>
    <t xml:space="preserve">2008-08-18</t>
  </si>
  <si>
    <t xml:space="preserve">Olympic Games Beijing</t>
  </si>
  <si>
    <t xml:space="preserve">IAAF (2008)</t>
  </si>
  <si>
    <t xml:space="preserve">Performance Level</t>
  </si>
  <si>
    <t xml:space="preserve">Gender</t>
  </si>
  <si>
    <t xml:space="preserve">Target Time (s)</t>
  </si>
  <si>
    <t xml:space="preserve">0-200m Target</t>
  </si>
  <si>
    <t xml:space="preserve">200-400m Target</t>
  </si>
  <si>
    <t xml:space="preserve">400-600m Target</t>
  </si>
  <si>
    <t xml:space="preserve">600-800m Target</t>
  </si>
  <si>
    <t xml:space="preserve">0-400m Target</t>
  </si>
  <si>
    <t xml:space="preserve">400-800m Target</t>
  </si>
  <si>
    <t xml:space="preserve">Differential</t>
  </si>
  <si>
    <t xml:space="preserve">World Record</t>
  </si>
  <si>
    <t xml:space="preserve">Male</t>
  </si>
  <si>
    <t xml:space="preserve">World Class (1:41-1:44)</t>
  </si>
  <si>
    <t xml:space="preserve">Elite (1:44-1:47)</t>
  </si>
  <si>
    <t xml:space="preserve">Sub-Elite (1:47-1:52)</t>
  </si>
  <si>
    <t xml:space="preserve">Collegiate (1:50-1:58)</t>
  </si>
  <si>
    <t xml:space="preserve">HS Varsity (1:58-2:10)</t>
  </si>
  <si>
    <t xml:space="preserve">HS JV (2:10-2:30)</t>
  </si>
  <si>
    <t xml:space="preserve">Female</t>
  </si>
  <si>
    <t xml:space="preserve">World Class (1:54-1:57)</t>
  </si>
  <si>
    <t xml:space="preserve">Elite (1:57-2:02)</t>
  </si>
  <si>
    <t xml:space="preserve">Sub-Elite (2:02-2:10)</t>
  </si>
  <si>
    <t xml:space="preserve">Collegiate (2:08-2:18)</t>
  </si>
  <si>
    <t xml:space="preserve">HS Varsity (2:18-2:40)</t>
  </si>
  <si>
    <t xml:space="preserve">HS JV (2:40-3:10)</t>
  </si>
  <si>
    <t xml:space="preserve">800m PACE CALCULATOR</t>
  </si>
  <si>
    <t xml:space="preserve">Enter Target Time (seconds):</t>
  </si>
  <si>
    <t xml:space="preserve">Gender (M or F):</t>
  </si>
  <si>
    <t xml:space="preserve">M</t>
  </si>
  <si>
    <t xml:space="preserve">RECOMMENDED SPLITS</t>
  </si>
  <si>
    <t xml:space="preserve">Segment</t>
  </si>
  <si>
    <t xml:space="preserve">Split Time (s)</t>
  </si>
  <si>
    <t xml:space="preserve">Cumulative (s)</t>
  </si>
  <si>
    <t xml:space="preserve">Velocity (m/s)</t>
  </si>
  <si>
    <t xml:space="preserve">% of Total</t>
  </si>
  <si>
    <t xml:space="preserve">0-200m</t>
  </si>
  <si>
    <t xml:space="preserve">200-400m</t>
  </si>
  <si>
    <t xml:space="preserve">400-600m</t>
  </si>
  <si>
    <t xml:space="preserve">600-800m</t>
  </si>
  <si>
    <t xml:space="preserve">TOTAL</t>
  </si>
  <si>
    <t xml:space="preserve">1st 400m</t>
  </si>
  <si>
    <t xml:space="preserve">2nd 400m</t>
  </si>
  <si>
    <t xml:space="preserve">Target per 400m</t>
  </si>
  <si>
    <t xml:space="preserve">DATA SOURCES &amp; METHODOLOGY</t>
  </si>
  <si>
    <t xml:space="preserve">Primary Sources</t>
  </si>
  <si>
    <t xml:space="preserve">World Athletics/IAAF Results</t>
  </si>
  <si>
    <t xml:space="preserve">Official splits from Olympic and World Championship finals</t>
  </si>
  <si>
    <t xml:space="preserve">Omega Timing / Seiko Timing</t>
  </si>
  <si>
    <t xml:space="preserve">Diamond League and championship electronic timing</t>
  </si>
  <si>
    <t xml:space="preserve">Academic</t>
  </si>
  <si>
    <t xml:space="preserve">Reardon (2013)</t>
  </si>
  <si>
    <t xml:space="preserve">Optimal pacing for 400m and 800m, Am. J. Phys.</t>
  </si>
  <si>
    <t xml:space="preserve">Tucker et al. (2006)</t>
  </si>
  <si>
    <t xml:space="preserve">Pacing strategies in world records 800-10000m</t>
  </si>
  <si>
    <t xml:space="preserve">NOTES ON 800m PACING</t>
  </si>
  <si>
    <t xml:space="preserve">The 800m uses a unique U-shaped pacing profile among middle distance events</t>
  </si>
  <si>
    <t xml:space="preserve">1st 200m is fast (adrenaline + break from lanes), 200-600m settles, final 200m kicks</t>
  </si>
  <si>
    <t xml:space="preserve">Rudisha WR was front-run: 23.5/25.78/25.02/26.61 - remarkably even second lap</t>
  </si>
  <si>
    <t xml:space="preserve">Tactical championship races show slower 400-600m and faster kicks</t>
  </si>
  <si>
    <t xml:space="preserve">Positive split (1st lap faster) is most common at all levels</t>
  </si>
  <si>
    <t xml:space="preserve">Elite target: 1st 400m ~1-2s faster than 2nd; Youth: 2-4s differential is common</t>
  </si>
  <si>
    <t xml:space="preserve">The 800m is ~50% aerobic / 50% anaerobic, demanding both speed and endurance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</si>
</sst>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2F5496"/>
      <name val="Arial"/>
      <family val="0"/>
      <charset val="1"/>
    </font>
    <font>
      <b val="true"/>
      <sz val="12"/>
      <color rgb="FF0000FF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8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32"/>
    <col collapsed="false" customWidth="true" hidden="false" outlineLevel="0" max="6" min="6" style="0" width="8"/>
    <col collapsed="false" customWidth="true" hidden="false" outlineLevel="0" max="7" min="7" style="0" width="14"/>
    <col collapsed="false" customWidth="true" hidden="false" outlineLevel="0" max="8" min="8" style="0" width="6"/>
    <col collapsed="false" customWidth="true" hidden="false" outlineLevel="0" max="14" min="9" style="0" width="10"/>
    <col collapsed="false" customWidth="true" hidden="false" outlineLevel="0" max="15" min="15" style="0" width="12"/>
    <col collapsed="false" customWidth="true" hidden="false" outlineLevel="0" max="19" min="16" style="0" width="9"/>
    <col collapsed="false" customWidth="true" hidden="false" outlineLevel="0" max="20" min="20" style="0" width="10"/>
    <col collapsed="false" customWidth="true" hidden="false" outlineLevel="0" max="21" min="21" style="0" width="30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customFormat="false" ht="15" hidden="false" customHeight="false" outlineLevel="0" collapsed="false">
      <c r="A2" s="2" t="s">
        <v>21</v>
      </c>
      <c r="B2" s="2" t="s">
        <v>22</v>
      </c>
      <c r="C2" s="3" t="n">
        <v>1988</v>
      </c>
      <c r="D2" s="3" t="s">
        <v>23</v>
      </c>
      <c r="E2" s="3" t="s">
        <v>24</v>
      </c>
      <c r="F2" s="3" t="s">
        <v>25</v>
      </c>
      <c r="G2" s="3" t="n">
        <v>100.91</v>
      </c>
      <c r="H2" s="3" t="n">
        <v>1</v>
      </c>
      <c r="I2" s="3" t="n">
        <v>23.5</v>
      </c>
      <c r="J2" s="3" t="n">
        <v>25.78</v>
      </c>
      <c r="K2" s="3" t="n">
        <v>25.02</v>
      </c>
      <c r="L2" s="3" t="n">
        <v>26.61</v>
      </c>
      <c r="M2" s="3" t="n">
        <f aca="false">I2+J2</f>
        <v>49.28</v>
      </c>
      <c r="N2" s="3" t="n">
        <f aca="false">K2+L2</f>
        <v>51.63</v>
      </c>
      <c r="O2" s="3" t="n">
        <f aca="false">N2-M2</f>
        <v>2.34999999999999</v>
      </c>
      <c r="P2" s="3" t="n">
        <f aca="false">I2/G2*100</f>
        <v>23.2880784857794</v>
      </c>
      <c r="Q2" s="3" t="n">
        <f aca="false">J2/G2*100</f>
        <v>25.5475175899316</v>
      </c>
      <c r="R2" s="3" t="n">
        <f aca="false">K2/G2*100</f>
        <v>24.7943712218809</v>
      </c>
      <c r="S2" s="3" t="n">
        <f aca="false">L2/G2*100</f>
        <v>26.3700327024081</v>
      </c>
      <c r="T2" s="3" t="s">
        <v>26</v>
      </c>
      <c r="U2" s="3" t="s">
        <v>27</v>
      </c>
    </row>
    <row r="3" customFormat="false" ht="15" hidden="false" customHeight="false" outlineLevel="0" collapsed="false">
      <c r="A3" s="2" t="s">
        <v>21</v>
      </c>
      <c r="B3" s="2" t="s">
        <v>22</v>
      </c>
      <c r="C3" s="3" t="n">
        <v>1988</v>
      </c>
      <c r="D3" s="3" t="s">
        <v>28</v>
      </c>
      <c r="E3" s="3" t="s">
        <v>29</v>
      </c>
      <c r="F3" s="3" t="s">
        <v>25</v>
      </c>
      <c r="G3" s="3" t="n">
        <v>101.01</v>
      </c>
      <c r="H3" s="3" t="n">
        <v>1</v>
      </c>
      <c r="I3" s="3" t="n">
        <v>23.6</v>
      </c>
      <c r="J3" s="3" t="n">
        <v>25.3</v>
      </c>
      <c r="K3" s="3" t="n">
        <v>25.4</v>
      </c>
      <c r="L3" s="3" t="n">
        <v>26.71</v>
      </c>
      <c r="M3" s="3" t="n">
        <f aca="false">I3+J3</f>
        <v>48.9</v>
      </c>
      <c r="N3" s="3" t="n">
        <f aca="false">K3+L3</f>
        <v>52.11</v>
      </c>
      <c r="O3" s="3" t="n">
        <f aca="false">N3-M3</f>
        <v>3.20999999999999</v>
      </c>
      <c r="P3" s="3" t="n">
        <f aca="false">I3/G3*100</f>
        <v>23.3640233640234</v>
      </c>
      <c r="Q3" s="3" t="n">
        <f aca="false">J3/G3*100</f>
        <v>25.047025047025</v>
      </c>
      <c r="R3" s="3" t="n">
        <f aca="false">K3/G3*100</f>
        <v>25.1460251460251</v>
      </c>
      <c r="S3" s="3" t="n">
        <f aca="false">L3/G3*100</f>
        <v>26.4429264429264</v>
      </c>
      <c r="T3" s="3" t="s">
        <v>26</v>
      </c>
      <c r="U3" s="3" t="s">
        <v>30</v>
      </c>
    </row>
    <row r="4" customFormat="false" ht="15" hidden="false" customHeight="false" outlineLevel="0" collapsed="false">
      <c r="A4" s="2" t="s">
        <v>21</v>
      </c>
      <c r="B4" s="2" t="s">
        <v>22</v>
      </c>
      <c r="C4" s="3" t="n">
        <v>1988</v>
      </c>
      <c r="D4" s="3" t="s">
        <v>31</v>
      </c>
      <c r="E4" s="3" t="s">
        <v>32</v>
      </c>
      <c r="F4" s="3" t="s">
        <v>25</v>
      </c>
      <c r="G4" s="3" t="n">
        <v>101.09</v>
      </c>
      <c r="H4" s="3" t="n">
        <v>1</v>
      </c>
      <c r="I4" s="3" t="n">
        <v>23.73</v>
      </c>
      <c r="J4" s="3" t="n">
        <v>25.37</v>
      </c>
      <c r="K4" s="3" t="n">
        <v>25.29</v>
      </c>
      <c r="L4" s="3" t="n">
        <v>26.7</v>
      </c>
      <c r="M4" s="3" t="n">
        <f aca="false">I4+J4</f>
        <v>49.1</v>
      </c>
      <c r="N4" s="3" t="n">
        <f aca="false">K4+L4</f>
        <v>51.99</v>
      </c>
      <c r="O4" s="3" t="n">
        <f aca="false">N4-M4</f>
        <v>2.88999999999999</v>
      </c>
      <c r="P4" s="3" t="n">
        <f aca="false">I4/G4*100</f>
        <v>23.4741319616184</v>
      </c>
      <c r="Q4" s="3" t="n">
        <f aca="false">J4/G4*100</f>
        <v>25.0964487090711</v>
      </c>
      <c r="R4" s="3" t="n">
        <f aca="false">K4/G4*100</f>
        <v>25.0173113067564</v>
      </c>
      <c r="S4" s="3" t="n">
        <f aca="false">L4/G4*100</f>
        <v>26.4121080225542</v>
      </c>
      <c r="T4" s="3" t="s">
        <v>26</v>
      </c>
      <c r="U4" s="3" t="s">
        <v>30</v>
      </c>
    </row>
    <row r="5" customFormat="false" ht="15" hidden="false" customHeight="false" outlineLevel="0" collapsed="false">
      <c r="A5" s="2" t="s">
        <v>33</v>
      </c>
      <c r="B5" s="2" t="s">
        <v>34</v>
      </c>
      <c r="C5" s="3" t="n">
        <v>1994</v>
      </c>
      <c r="D5" s="3" t="s">
        <v>23</v>
      </c>
      <c r="E5" s="3" t="s">
        <v>24</v>
      </c>
      <c r="F5" s="3" t="s">
        <v>25</v>
      </c>
      <c r="G5" s="3" t="n">
        <v>101.73</v>
      </c>
      <c r="H5" s="3" t="n">
        <v>2</v>
      </c>
      <c r="I5" s="3" t="n">
        <v>23.8</v>
      </c>
      <c r="J5" s="3" t="n">
        <v>25.9</v>
      </c>
      <c r="K5" s="3" t="n">
        <v>25.33</v>
      </c>
      <c r="L5" s="3" t="n">
        <v>26.7</v>
      </c>
      <c r="M5" s="3" t="n">
        <f aca="false">I5+J5</f>
        <v>49.7</v>
      </c>
      <c r="N5" s="3" t="n">
        <f aca="false">K5+L5</f>
        <v>52.03</v>
      </c>
      <c r="O5" s="3" t="n">
        <f aca="false">N5-M5</f>
        <v>2.33</v>
      </c>
      <c r="P5" s="3" t="n">
        <f aca="false">I5/G5*100</f>
        <v>23.3952619679544</v>
      </c>
      <c r="Q5" s="3" t="n">
        <f aca="false">J5/G5*100</f>
        <v>25.4595497886562</v>
      </c>
      <c r="R5" s="3" t="n">
        <f aca="false">K5/G5*100</f>
        <v>24.8992430944657</v>
      </c>
      <c r="S5" s="3" t="n">
        <f aca="false">L5/G5*100</f>
        <v>26.2459451489236</v>
      </c>
      <c r="T5" s="3" t="s">
        <v>35</v>
      </c>
      <c r="U5" s="3" t="s">
        <v>27</v>
      </c>
    </row>
    <row r="6" customFormat="false" ht="15" hidden="false" customHeight="false" outlineLevel="0" collapsed="false">
      <c r="A6" s="2" t="s">
        <v>36</v>
      </c>
      <c r="B6" s="2" t="s">
        <v>37</v>
      </c>
      <c r="C6" s="3" t="n">
        <v>1972</v>
      </c>
      <c r="D6" s="3" t="s">
        <v>38</v>
      </c>
      <c r="E6" s="3" t="s">
        <v>39</v>
      </c>
      <c r="F6" s="3" t="s">
        <v>25</v>
      </c>
      <c r="G6" s="3" t="n">
        <v>101.11</v>
      </c>
      <c r="H6" s="3" t="n">
        <v>1</v>
      </c>
      <c r="I6" s="3" t="n">
        <v>23.62</v>
      </c>
      <c r="J6" s="3" t="n">
        <v>25.38</v>
      </c>
      <c r="K6" s="3" t="n">
        <v>25.35</v>
      </c>
      <c r="L6" s="3" t="n">
        <v>26.76</v>
      </c>
      <c r="M6" s="3" t="n">
        <f aca="false">I6+J6</f>
        <v>49</v>
      </c>
      <c r="N6" s="3" t="n">
        <f aca="false">K6+L6</f>
        <v>52.11</v>
      </c>
      <c r="O6" s="3" t="n">
        <f aca="false">N6-M6</f>
        <v>3.11</v>
      </c>
      <c r="P6" s="3" t="n">
        <f aca="false">I6/G6*100</f>
        <v>23.3606962713876</v>
      </c>
      <c r="Q6" s="3" t="n">
        <f aca="false">J6/G6*100</f>
        <v>25.1013747403818</v>
      </c>
      <c r="R6" s="3" t="n">
        <f aca="false">K6/G6*100</f>
        <v>25.0717040846603</v>
      </c>
      <c r="S6" s="3" t="n">
        <f aca="false">L6/G6*100</f>
        <v>26.4662249035704</v>
      </c>
      <c r="T6" s="3" t="s">
        <v>26</v>
      </c>
      <c r="U6" s="3" t="s">
        <v>30</v>
      </c>
    </row>
    <row r="7" customFormat="false" ht="15" hidden="false" customHeight="false" outlineLevel="0" collapsed="false">
      <c r="A7" s="2" t="s">
        <v>40</v>
      </c>
      <c r="B7" s="2" t="s">
        <v>41</v>
      </c>
      <c r="C7" s="3" t="n">
        <v>1956</v>
      </c>
      <c r="D7" s="3" t="s">
        <v>42</v>
      </c>
      <c r="E7" s="3" t="s">
        <v>43</v>
      </c>
      <c r="F7" s="3" t="s">
        <v>25</v>
      </c>
      <c r="G7" s="3" t="n">
        <v>101.73</v>
      </c>
      <c r="H7" s="3" t="n">
        <v>1</v>
      </c>
      <c r="I7" s="3" t="n">
        <v>24.39</v>
      </c>
      <c r="J7" s="3" t="n">
        <v>25.74</v>
      </c>
      <c r="K7" s="3" t="n">
        <v>25.52</v>
      </c>
      <c r="L7" s="3" t="n">
        <v>26.08</v>
      </c>
      <c r="M7" s="3" t="n">
        <f aca="false">I7+J7</f>
        <v>50.13</v>
      </c>
      <c r="N7" s="3" t="n">
        <f aca="false">K7+L7</f>
        <v>51.6</v>
      </c>
      <c r="O7" s="3" t="n">
        <f aca="false">N7-M7</f>
        <v>1.47</v>
      </c>
      <c r="P7" s="3" t="n">
        <f aca="false">I7/G7*100</f>
        <v>23.9752285461516</v>
      </c>
      <c r="Q7" s="3" t="n">
        <f aca="false">J7/G7*100</f>
        <v>25.3022707166028</v>
      </c>
      <c r="R7" s="3" t="n">
        <f aca="false">K7/G7*100</f>
        <v>25.0860119925292</v>
      </c>
      <c r="S7" s="3" t="n">
        <f aca="false">L7/G7*100</f>
        <v>25.6364887447164</v>
      </c>
      <c r="T7" s="3" t="s">
        <v>26</v>
      </c>
      <c r="U7" s="3" t="s">
        <v>44</v>
      </c>
    </row>
    <row r="8" customFormat="false" ht="15" hidden="false" customHeight="false" outlineLevel="0" collapsed="false">
      <c r="A8" s="2" t="s">
        <v>45</v>
      </c>
      <c r="B8" s="2" t="s">
        <v>22</v>
      </c>
      <c r="C8" s="3" t="n">
        <v>1995</v>
      </c>
      <c r="D8" s="3" t="s">
        <v>46</v>
      </c>
      <c r="E8" s="3" t="s">
        <v>47</v>
      </c>
      <c r="F8" s="3" t="s">
        <v>25</v>
      </c>
      <c r="G8" s="3" t="n">
        <v>105.21</v>
      </c>
      <c r="H8" s="3" t="n">
        <v>1</v>
      </c>
      <c r="I8" s="3" t="n">
        <v>25.17</v>
      </c>
      <c r="J8" s="3" t="n">
        <v>27.18</v>
      </c>
      <c r="K8" s="3" t="n">
        <v>26.22</v>
      </c>
      <c r="L8" s="3" t="n">
        <v>26.64</v>
      </c>
      <c r="M8" s="3" t="n">
        <f aca="false">I8+J8</f>
        <v>52.35</v>
      </c>
      <c r="N8" s="3" t="n">
        <f aca="false">K8+L8</f>
        <v>52.86</v>
      </c>
      <c r="O8" s="3" t="n">
        <f aca="false">N8-M8</f>
        <v>0.509999999999998</v>
      </c>
      <c r="P8" s="3" t="n">
        <f aca="false">I8/G8*100</f>
        <v>23.9235814086114</v>
      </c>
      <c r="Q8" s="3" t="n">
        <f aca="false">J8/G8*100</f>
        <v>25.8340461933276</v>
      </c>
      <c r="R8" s="3" t="n">
        <f aca="false">K8/G8*100</f>
        <v>24.9215854006273</v>
      </c>
      <c r="S8" s="3" t="n">
        <f aca="false">L8/G8*100</f>
        <v>25.3207869974337</v>
      </c>
      <c r="T8" s="3" t="s">
        <v>48</v>
      </c>
      <c r="U8" s="3" t="s">
        <v>49</v>
      </c>
    </row>
    <row r="9" customFormat="false" ht="15" hidden="false" customHeight="false" outlineLevel="0" collapsed="false">
      <c r="A9" s="2" t="s">
        <v>50</v>
      </c>
      <c r="B9" s="2" t="s">
        <v>51</v>
      </c>
      <c r="C9" s="3" t="n">
        <v>1994</v>
      </c>
      <c r="D9" s="3" t="s">
        <v>46</v>
      </c>
      <c r="E9" s="3" t="s">
        <v>47</v>
      </c>
      <c r="F9" s="3" t="s">
        <v>25</v>
      </c>
      <c r="G9" s="3" t="n">
        <v>105.39</v>
      </c>
      <c r="H9" s="3" t="n">
        <v>4</v>
      </c>
      <c r="I9" s="3" t="n">
        <v>25.1</v>
      </c>
      <c r="J9" s="3" t="n">
        <v>27.1</v>
      </c>
      <c r="K9" s="3" t="n">
        <v>26.3</v>
      </c>
      <c r="L9" s="3" t="n">
        <v>26.89</v>
      </c>
      <c r="M9" s="3" t="n">
        <f aca="false">I9+J9</f>
        <v>52.2</v>
      </c>
      <c r="N9" s="3" t="n">
        <f aca="false">K9+L9</f>
        <v>53.19</v>
      </c>
      <c r="O9" s="3" t="n">
        <f aca="false">N9-M9</f>
        <v>0.989999999999995</v>
      </c>
      <c r="P9" s="3" t="n">
        <f aca="false">I9/G9*100</f>
        <v>23.816301356865</v>
      </c>
      <c r="Q9" s="3" t="n">
        <f aca="false">J9/G9*100</f>
        <v>25.7140146123921</v>
      </c>
      <c r="R9" s="3" t="n">
        <f aca="false">K9/G9*100</f>
        <v>24.9549293101812</v>
      </c>
      <c r="S9" s="3" t="n">
        <f aca="false">L9/G9*100</f>
        <v>25.5147547205617</v>
      </c>
      <c r="T9" s="3" t="s">
        <v>52</v>
      </c>
      <c r="U9" s="3" t="s">
        <v>49</v>
      </c>
    </row>
    <row r="10" customFormat="false" ht="15" hidden="false" customHeight="false" outlineLevel="0" collapsed="false">
      <c r="A10" s="2" t="s">
        <v>53</v>
      </c>
      <c r="B10" s="2" t="s">
        <v>22</v>
      </c>
      <c r="C10" s="3" t="n">
        <v>1989</v>
      </c>
      <c r="D10" s="3" t="s">
        <v>54</v>
      </c>
      <c r="E10" s="3" t="s">
        <v>55</v>
      </c>
      <c r="F10" s="3" t="s">
        <v>25</v>
      </c>
      <c r="G10" s="3" t="n">
        <v>102.73</v>
      </c>
      <c r="H10" s="3" t="n">
        <v>2</v>
      </c>
      <c r="I10" s="3" t="n">
        <v>24.1</v>
      </c>
      <c r="J10" s="3" t="n">
        <v>26</v>
      </c>
      <c r="K10" s="3" t="n">
        <v>25.63</v>
      </c>
      <c r="L10" s="3" t="n">
        <v>27</v>
      </c>
      <c r="M10" s="3" t="n">
        <f aca="false">I10+J10</f>
        <v>50.1</v>
      </c>
      <c r="N10" s="3" t="n">
        <f aca="false">K10+L10</f>
        <v>52.63</v>
      </c>
      <c r="O10" s="3" t="n">
        <f aca="false">N10-M10</f>
        <v>2.52999999999999</v>
      </c>
      <c r="P10" s="3" t="n">
        <f aca="false">I10/G10*100</f>
        <v>23.4595541711282</v>
      </c>
      <c r="Q10" s="3" t="n">
        <f aca="false">J10/G10*100</f>
        <v>25.3090625912586</v>
      </c>
      <c r="R10" s="3" t="n">
        <f aca="false">K10/G10*100</f>
        <v>24.9488951620753</v>
      </c>
      <c r="S10" s="3" t="n">
        <f aca="false">L10/G10*100</f>
        <v>26.2824880755378</v>
      </c>
      <c r="T10" s="3" t="s">
        <v>56</v>
      </c>
      <c r="U10" s="3" t="s">
        <v>57</v>
      </c>
    </row>
    <row r="11" customFormat="false" ht="15" hidden="false" customHeight="false" outlineLevel="0" collapsed="false">
      <c r="A11" s="2" t="s">
        <v>58</v>
      </c>
      <c r="B11" s="2" t="s">
        <v>59</v>
      </c>
      <c r="C11" s="3" t="n">
        <v>1995</v>
      </c>
      <c r="D11" s="3" t="s">
        <v>60</v>
      </c>
      <c r="E11" s="3" t="s">
        <v>61</v>
      </c>
      <c r="F11" s="3" t="s">
        <v>25</v>
      </c>
      <c r="G11" s="3" t="n">
        <v>102.73</v>
      </c>
      <c r="H11" s="3" t="n">
        <v>3</v>
      </c>
      <c r="I11" s="3" t="n">
        <v>24.5</v>
      </c>
      <c r="J11" s="3" t="n">
        <v>26.3</v>
      </c>
      <c r="K11" s="3" t="n">
        <v>25.33</v>
      </c>
      <c r="L11" s="3" t="n">
        <v>26.6</v>
      </c>
      <c r="M11" s="3" t="n">
        <f aca="false">I11+J11</f>
        <v>50.8</v>
      </c>
      <c r="N11" s="3" t="n">
        <f aca="false">K11+L11</f>
        <v>51.93</v>
      </c>
      <c r="O11" s="3" t="n">
        <f aca="false">N11-M11</f>
        <v>1.13</v>
      </c>
      <c r="P11" s="3" t="n">
        <f aca="false">I11/G11*100</f>
        <v>23.8489243648399</v>
      </c>
      <c r="Q11" s="3" t="n">
        <f aca="false">J11/G11*100</f>
        <v>25.6010902365424</v>
      </c>
      <c r="R11" s="3" t="n">
        <f aca="false">K11/G11*100</f>
        <v>24.6568675167916</v>
      </c>
      <c r="S11" s="3" t="n">
        <f aca="false">L11/G11*100</f>
        <v>25.8931178818261</v>
      </c>
      <c r="T11" s="3" t="s">
        <v>56</v>
      </c>
      <c r="U11" s="3" t="s">
        <v>62</v>
      </c>
    </row>
    <row r="12" customFormat="false" ht="15" hidden="false" customHeight="false" outlineLevel="0" collapsed="false">
      <c r="A12" s="2" t="s">
        <v>63</v>
      </c>
      <c r="B12" s="2" t="s">
        <v>64</v>
      </c>
      <c r="C12" s="3" t="n">
        <v>1950</v>
      </c>
      <c r="D12" s="3" t="s">
        <v>65</v>
      </c>
      <c r="E12" s="3" t="s">
        <v>66</v>
      </c>
      <c r="F12" s="3" t="s">
        <v>25</v>
      </c>
      <c r="G12" s="3" t="n">
        <v>103.5</v>
      </c>
      <c r="H12" s="3" t="n">
        <v>1</v>
      </c>
      <c r="I12" s="3" t="n">
        <v>24</v>
      </c>
      <c r="J12" s="3" t="n">
        <v>27.5</v>
      </c>
      <c r="K12" s="3" t="n">
        <v>26</v>
      </c>
      <c r="L12" s="3" t="n">
        <v>26</v>
      </c>
      <c r="M12" s="3" t="n">
        <f aca="false">I12+J12</f>
        <v>51.5</v>
      </c>
      <c r="N12" s="3" t="n">
        <f aca="false">K12+L12</f>
        <v>52</v>
      </c>
      <c r="O12" s="3" t="n">
        <f aca="false">N12-M12</f>
        <v>0.5</v>
      </c>
      <c r="P12" s="3" t="n">
        <f aca="false">I12/G12*100</f>
        <v>23.1884057971015</v>
      </c>
      <c r="Q12" s="3" t="n">
        <f aca="false">J12/G12*100</f>
        <v>26.5700483091787</v>
      </c>
      <c r="R12" s="3" t="n">
        <f aca="false">K12/G12*100</f>
        <v>25.1207729468599</v>
      </c>
      <c r="S12" s="3" t="n">
        <f aca="false">L12/G12*100</f>
        <v>25.1207729468599</v>
      </c>
      <c r="T12" s="3" t="s">
        <v>26</v>
      </c>
      <c r="U12" s="3" t="s">
        <v>67</v>
      </c>
    </row>
    <row r="13" customFormat="false" ht="15" hidden="false" customHeight="false" outlineLevel="0" collapsed="false">
      <c r="A13" s="2" t="s">
        <v>68</v>
      </c>
      <c r="B13" s="2" t="s">
        <v>69</v>
      </c>
      <c r="C13" s="3" t="n">
        <v>2000</v>
      </c>
      <c r="D13" s="3" t="s">
        <v>70</v>
      </c>
      <c r="E13" s="3" t="s">
        <v>71</v>
      </c>
      <c r="F13" s="3" t="s">
        <v>25</v>
      </c>
      <c r="G13" s="3" t="n">
        <v>101.45</v>
      </c>
      <c r="H13" s="3" t="n">
        <v>2</v>
      </c>
      <c r="I13" s="3" t="n">
        <v>24.5</v>
      </c>
      <c r="J13" s="3" t="n">
        <v>26.5</v>
      </c>
      <c r="K13" s="3" t="n">
        <v>24.45</v>
      </c>
      <c r="L13" s="3" t="n">
        <v>26</v>
      </c>
      <c r="M13" s="3" t="n">
        <f aca="false">I13+J13</f>
        <v>51</v>
      </c>
      <c r="N13" s="3" t="n">
        <f aca="false">K13+L13</f>
        <v>50.45</v>
      </c>
      <c r="O13" s="3" t="n">
        <f aca="false">N13-M13</f>
        <v>-0.549999999999997</v>
      </c>
      <c r="P13" s="3" t="n">
        <f aca="false">I13/G13*100</f>
        <v>24.1498275012321</v>
      </c>
      <c r="Q13" s="3" t="n">
        <f aca="false">J13/G13*100</f>
        <v>26.1212419911286</v>
      </c>
      <c r="R13" s="3" t="n">
        <f aca="false">K13/G13*100</f>
        <v>24.1005421389847</v>
      </c>
      <c r="S13" s="3" t="n">
        <f aca="false">L13/G13*100</f>
        <v>25.6283883686545</v>
      </c>
      <c r="T13" s="3" t="s">
        <v>72</v>
      </c>
      <c r="U13" s="3" t="s">
        <v>73</v>
      </c>
    </row>
    <row r="14" customFormat="false" ht="15" hidden="false" customHeight="false" outlineLevel="0" collapsed="false">
      <c r="A14" s="2" t="s">
        <v>74</v>
      </c>
      <c r="B14" s="2" t="s">
        <v>75</v>
      </c>
      <c r="C14" s="3" t="n">
        <v>1998</v>
      </c>
      <c r="D14" s="3" t="s">
        <v>70</v>
      </c>
      <c r="E14" s="3" t="s">
        <v>71</v>
      </c>
      <c r="F14" s="3" t="s">
        <v>25</v>
      </c>
      <c r="G14" s="3" t="n">
        <v>102.19</v>
      </c>
      <c r="H14" s="3" t="n">
        <v>1</v>
      </c>
      <c r="I14" s="3" t="n">
        <v>24.5</v>
      </c>
      <c r="J14" s="3" t="n">
        <v>26.5</v>
      </c>
      <c r="K14" s="3" t="n">
        <v>24.7</v>
      </c>
      <c r="L14" s="3" t="n">
        <v>26.49</v>
      </c>
      <c r="M14" s="3" t="n">
        <f aca="false">I14+J14</f>
        <v>51</v>
      </c>
      <c r="N14" s="3" t="n">
        <f aca="false">K14+L14</f>
        <v>51.19</v>
      </c>
      <c r="O14" s="3" t="n">
        <f aca="false">N14-M14</f>
        <v>0.189999999999998</v>
      </c>
      <c r="P14" s="3" t="n">
        <f aca="false">I14/G14*100</f>
        <v>23.9749486251101</v>
      </c>
      <c r="Q14" s="3" t="n">
        <f aca="false">J14/G14*100</f>
        <v>25.9320872883844</v>
      </c>
      <c r="R14" s="3" t="n">
        <f aca="false">K14/G14*100</f>
        <v>24.1706624914375</v>
      </c>
      <c r="S14" s="3" t="n">
        <f aca="false">L14/G14*100</f>
        <v>25.922301595068</v>
      </c>
      <c r="T14" s="3" t="s">
        <v>72</v>
      </c>
      <c r="U14" s="3" t="s">
        <v>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8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32"/>
    <col collapsed="false" customWidth="true" hidden="false" outlineLevel="0" max="6" min="6" style="0" width="8"/>
    <col collapsed="false" customWidth="true" hidden="false" outlineLevel="0" max="7" min="7" style="0" width="14"/>
    <col collapsed="false" customWidth="true" hidden="false" outlineLevel="0" max="8" min="8" style="0" width="6"/>
    <col collapsed="false" customWidth="true" hidden="false" outlineLevel="0" max="14" min="9" style="0" width="10"/>
    <col collapsed="false" customWidth="true" hidden="false" outlineLevel="0" max="15" min="15" style="0" width="12"/>
    <col collapsed="false" customWidth="true" hidden="false" outlineLevel="0" max="19" min="16" style="0" width="9"/>
    <col collapsed="false" customWidth="true" hidden="false" outlineLevel="0" max="20" min="20" style="0" width="10"/>
    <col collapsed="false" customWidth="true" hidden="false" outlineLevel="0" max="21" min="21" style="0" width="30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customFormat="false" ht="15" hidden="false" customHeight="false" outlineLevel="0" collapsed="false">
      <c r="A2" s="2" t="s">
        <v>76</v>
      </c>
      <c r="B2" s="2" t="s">
        <v>77</v>
      </c>
      <c r="C2" s="3" t="n">
        <v>1951</v>
      </c>
      <c r="D2" s="3" t="s">
        <v>78</v>
      </c>
      <c r="E2" s="3" t="s">
        <v>79</v>
      </c>
      <c r="F2" s="3" t="s">
        <v>25</v>
      </c>
      <c r="G2" s="3" t="n">
        <v>113.28</v>
      </c>
      <c r="H2" s="3" t="n">
        <v>1</v>
      </c>
      <c r="I2" s="3" t="n">
        <v>26.2</v>
      </c>
      <c r="J2" s="3" t="n">
        <v>28.8</v>
      </c>
      <c r="K2" s="3" t="n">
        <v>28.5</v>
      </c>
      <c r="L2" s="3" t="n">
        <v>29.78</v>
      </c>
      <c r="M2" s="3" t="n">
        <f aca="false">I2+J2</f>
        <v>55</v>
      </c>
      <c r="N2" s="3" t="n">
        <f aca="false">K2+L2</f>
        <v>58.28</v>
      </c>
      <c r="O2" s="3" t="n">
        <f aca="false">N2-M2</f>
        <v>3.28</v>
      </c>
      <c r="P2" s="3" t="n">
        <f aca="false">I2/G2*100</f>
        <v>23.1285310734463</v>
      </c>
      <c r="Q2" s="3" t="n">
        <f aca="false">J2/G2*100</f>
        <v>25.4237288135593</v>
      </c>
      <c r="R2" s="3" t="n">
        <f aca="false">K2/G2*100</f>
        <v>25.1588983050847</v>
      </c>
      <c r="S2" s="3" t="n">
        <f aca="false">L2/G2*100</f>
        <v>26.2888418079096</v>
      </c>
      <c r="T2" s="3" t="s">
        <v>26</v>
      </c>
      <c r="U2" s="3" t="s">
        <v>67</v>
      </c>
    </row>
    <row r="3" customFormat="false" ht="15" hidden="false" customHeight="false" outlineLevel="0" collapsed="false">
      <c r="A3" s="2" t="s">
        <v>80</v>
      </c>
      <c r="B3" s="2" t="s">
        <v>81</v>
      </c>
      <c r="C3" s="3" t="n">
        <v>1991</v>
      </c>
      <c r="D3" s="3" t="s">
        <v>82</v>
      </c>
      <c r="E3" s="3" t="s">
        <v>83</v>
      </c>
      <c r="F3" s="3" t="s">
        <v>25</v>
      </c>
      <c r="G3" s="3" t="n">
        <v>114.26</v>
      </c>
      <c r="H3" s="3" t="n">
        <v>1</v>
      </c>
      <c r="I3" s="3" t="n">
        <v>26.7</v>
      </c>
      <c r="J3" s="3" t="n">
        <v>28.9</v>
      </c>
      <c r="K3" s="3" t="n">
        <v>28.8</v>
      </c>
      <c r="L3" s="3" t="n">
        <v>29.86</v>
      </c>
      <c r="M3" s="3" t="n">
        <f aca="false">I3+J3</f>
        <v>55.6</v>
      </c>
      <c r="N3" s="3" t="n">
        <f aca="false">K3+L3</f>
        <v>58.66</v>
      </c>
      <c r="O3" s="3" t="n">
        <f aca="false">N3-M3</f>
        <v>3.06</v>
      </c>
      <c r="P3" s="3" t="n">
        <f aca="false">I3/G3*100</f>
        <v>23.3677577454927</v>
      </c>
      <c r="Q3" s="3" t="n">
        <f aca="false">J3/G3*100</f>
        <v>25.2931909679678</v>
      </c>
      <c r="R3" s="3" t="n">
        <f aca="false">K3/G3*100</f>
        <v>25.2056712760371</v>
      </c>
      <c r="S3" s="3" t="n">
        <f aca="false">L3/G3*100</f>
        <v>26.1333800105024</v>
      </c>
      <c r="T3" s="3" t="s">
        <v>84</v>
      </c>
      <c r="U3" s="3" t="s">
        <v>85</v>
      </c>
    </row>
    <row r="4" customFormat="false" ht="15" hidden="false" customHeight="false" outlineLevel="0" collapsed="false">
      <c r="A4" s="2" t="s">
        <v>86</v>
      </c>
      <c r="B4" s="2" t="s">
        <v>87</v>
      </c>
      <c r="C4" s="3" t="n">
        <v>1972</v>
      </c>
      <c r="D4" s="3" t="s">
        <v>88</v>
      </c>
      <c r="E4" s="3" t="s">
        <v>89</v>
      </c>
      <c r="F4" s="3" t="s">
        <v>25</v>
      </c>
      <c r="G4" s="3" t="n">
        <v>114.63</v>
      </c>
      <c r="H4" s="3" t="n">
        <v>1</v>
      </c>
      <c r="I4" s="3" t="n">
        <v>27</v>
      </c>
      <c r="J4" s="3" t="n">
        <v>28.5</v>
      </c>
      <c r="K4" s="3" t="n">
        <v>28.93</v>
      </c>
      <c r="L4" s="3" t="n">
        <v>30.2</v>
      </c>
      <c r="M4" s="3" t="n">
        <f aca="false">I4+J4</f>
        <v>55.5</v>
      </c>
      <c r="N4" s="3" t="n">
        <f aca="false">K4+L4</f>
        <v>59.13</v>
      </c>
      <c r="O4" s="3" t="n">
        <f aca="false">N4-M4</f>
        <v>3.63</v>
      </c>
      <c r="P4" s="3" t="n">
        <f aca="false">I4/G4*100</f>
        <v>23.5540434441246</v>
      </c>
      <c r="Q4" s="3" t="n">
        <f aca="false">J4/G4*100</f>
        <v>24.8626014132426</v>
      </c>
      <c r="R4" s="3" t="n">
        <f aca="false">K4/G4*100</f>
        <v>25.2377213643898</v>
      </c>
      <c r="S4" s="3" t="n">
        <f aca="false">L4/G4*100</f>
        <v>26.345633778243</v>
      </c>
      <c r="T4" s="3" t="s">
        <v>72</v>
      </c>
      <c r="U4" s="3" t="s">
        <v>90</v>
      </c>
    </row>
    <row r="5" customFormat="false" ht="15" hidden="false" customHeight="false" outlineLevel="0" collapsed="false">
      <c r="A5" s="2" t="s">
        <v>91</v>
      </c>
      <c r="B5" s="2" t="s">
        <v>41</v>
      </c>
      <c r="C5" s="3" t="n">
        <v>2002</v>
      </c>
      <c r="D5" s="3" t="s">
        <v>92</v>
      </c>
      <c r="E5" s="3" t="s">
        <v>71</v>
      </c>
      <c r="F5" s="3" t="s">
        <v>25</v>
      </c>
      <c r="G5" s="3" t="n">
        <v>116.65</v>
      </c>
      <c r="H5" s="3" t="n">
        <v>2</v>
      </c>
      <c r="I5" s="3" t="n">
        <v>27.5</v>
      </c>
      <c r="J5" s="3" t="n">
        <v>29.5</v>
      </c>
      <c r="K5" s="3" t="n">
        <v>29.3</v>
      </c>
      <c r="L5" s="3" t="n">
        <v>30.35</v>
      </c>
      <c r="M5" s="3" t="n">
        <f aca="false">I5+J5</f>
        <v>57</v>
      </c>
      <c r="N5" s="3" t="n">
        <f aca="false">K5+L5</f>
        <v>59.65</v>
      </c>
      <c r="O5" s="3" t="n">
        <f aca="false">N5-M5</f>
        <v>2.65000000000001</v>
      </c>
      <c r="P5" s="3" t="n">
        <f aca="false">I5/G5*100</f>
        <v>23.5747963994856</v>
      </c>
      <c r="Q5" s="3" t="n">
        <f aca="false">J5/G5*100</f>
        <v>25.289327046721</v>
      </c>
      <c r="R5" s="3" t="n">
        <f aca="false">K5/G5*100</f>
        <v>25.1178739819974</v>
      </c>
      <c r="S5" s="3" t="n">
        <f aca="false">L5/G5*100</f>
        <v>26.018002571796</v>
      </c>
      <c r="T5" s="3" t="s">
        <v>72</v>
      </c>
      <c r="U5" s="3" t="s">
        <v>73</v>
      </c>
    </row>
    <row r="6" customFormat="false" ht="15" hidden="false" customHeight="false" outlineLevel="0" collapsed="false">
      <c r="A6" s="2" t="s">
        <v>93</v>
      </c>
      <c r="B6" s="2" t="s">
        <v>59</v>
      </c>
      <c r="C6" s="3" t="n">
        <v>2002</v>
      </c>
      <c r="D6" s="3" t="s">
        <v>92</v>
      </c>
      <c r="E6" s="3" t="s">
        <v>71</v>
      </c>
      <c r="F6" s="3" t="s">
        <v>25</v>
      </c>
      <c r="G6" s="3" t="n">
        <v>117.5</v>
      </c>
      <c r="H6" s="3" t="n">
        <v>4</v>
      </c>
      <c r="I6" s="3" t="n">
        <v>27.3</v>
      </c>
      <c r="J6" s="3" t="n">
        <v>29.8</v>
      </c>
      <c r="K6" s="3" t="n">
        <v>29.7</v>
      </c>
      <c r="L6" s="3" t="n">
        <v>30.7</v>
      </c>
      <c r="M6" s="3" t="n">
        <f aca="false">I6+J6</f>
        <v>57.1</v>
      </c>
      <c r="N6" s="3" t="n">
        <f aca="false">K6+L6</f>
        <v>60.4</v>
      </c>
      <c r="O6" s="3" t="n">
        <f aca="false">N6-M6</f>
        <v>3.3</v>
      </c>
      <c r="P6" s="3" t="n">
        <f aca="false">I6/G6*100</f>
        <v>23.2340425531915</v>
      </c>
      <c r="Q6" s="3" t="n">
        <f aca="false">J6/G6*100</f>
        <v>25.3617021276596</v>
      </c>
      <c r="R6" s="3" t="n">
        <f aca="false">K6/G6*100</f>
        <v>25.2765957446809</v>
      </c>
      <c r="S6" s="3" t="n">
        <f aca="false">L6/G6*100</f>
        <v>26.1276595744681</v>
      </c>
      <c r="T6" s="3" t="s">
        <v>48</v>
      </c>
      <c r="U6" s="3" t="s">
        <v>73</v>
      </c>
    </row>
    <row r="7" customFormat="false" ht="15" hidden="false" customHeight="false" outlineLevel="0" collapsed="false">
      <c r="A7" s="2" t="s">
        <v>94</v>
      </c>
      <c r="B7" s="2" t="s">
        <v>41</v>
      </c>
      <c r="C7" s="3" t="n">
        <v>1970</v>
      </c>
      <c r="D7" s="3" t="s">
        <v>95</v>
      </c>
      <c r="E7" s="3" t="s">
        <v>96</v>
      </c>
      <c r="F7" s="3" t="s">
        <v>25</v>
      </c>
      <c r="G7" s="3" t="n">
        <v>116.06</v>
      </c>
      <c r="H7" s="3" t="n">
        <v>1</v>
      </c>
      <c r="I7" s="3" t="n">
        <v>28.9</v>
      </c>
      <c r="J7" s="3" t="n">
        <v>28.7</v>
      </c>
      <c r="K7" s="3" t="n">
        <v>28.6</v>
      </c>
      <c r="L7" s="3" t="n">
        <v>29.86</v>
      </c>
      <c r="M7" s="3" t="n">
        <f aca="false">I7+J7</f>
        <v>57.6</v>
      </c>
      <c r="N7" s="3" t="n">
        <f aca="false">K7+L7</f>
        <v>58.46</v>
      </c>
      <c r="O7" s="3" t="n">
        <f aca="false">N7-M7</f>
        <v>0.860000000000007</v>
      </c>
      <c r="P7" s="3" t="n">
        <f aca="false">I7/G7*100</f>
        <v>24.9009133206962</v>
      </c>
      <c r="Q7" s="3" t="n">
        <f aca="false">J7/G7*100</f>
        <v>24.7285886610374</v>
      </c>
      <c r="R7" s="3" t="n">
        <f aca="false">K7/G7*100</f>
        <v>24.642426331208</v>
      </c>
      <c r="S7" s="3" t="n">
        <f aca="false">L7/G7*100</f>
        <v>25.7280716870584</v>
      </c>
      <c r="T7" s="3" t="s">
        <v>72</v>
      </c>
      <c r="U7" s="3" t="s">
        <v>97</v>
      </c>
    </row>
    <row r="8" customFormat="false" ht="15" hidden="false" customHeight="false" outlineLevel="0" collapsed="false">
      <c r="A8" s="2" t="s">
        <v>98</v>
      </c>
      <c r="B8" s="2" t="s">
        <v>99</v>
      </c>
      <c r="C8" s="3" t="n">
        <v>1968</v>
      </c>
      <c r="D8" s="3" t="s">
        <v>100</v>
      </c>
      <c r="E8" s="3" t="s">
        <v>101</v>
      </c>
      <c r="F8" s="3" t="s">
        <v>25</v>
      </c>
      <c r="G8" s="3" t="n">
        <v>115.87</v>
      </c>
      <c r="H8" s="3" t="n">
        <v>1</v>
      </c>
      <c r="I8" s="3" t="n">
        <v>26.8</v>
      </c>
      <c r="J8" s="3" t="n">
        <v>29.2</v>
      </c>
      <c r="K8" s="3" t="n">
        <v>29.3</v>
      </c>
      <c r="L8" s="3" t="n">
        <v>30.57</v>
      </c>
      <c r="M8" s="3" t="n">
        <f aca="false">I8+J8</f>
        <v>56</v>
      </c>
      <c r="N8" s="3" t="n">
        <f aca="false">K8+L8</f>
        <v>59.87</v>
      </c>
      <c r="O8" s="3" t="n">
        <f aca="false">N8-M8</f>
        <v>3.87</v>
      </c>
      <c r="P8" s="3" t="n">
        <f aca="false">I8/G8*100</f>
        <v>23.1293691205662</v>
      </c>
      <c r="Q8" s="3" t="n">
        <f aca="false">J8/G8*100</f>
        <v>25.2006559074825</v>
      </c>
      <c r="R8" s="3" t="n">
        <f aca="false">K8/G8*100</f>
        <v>25.286959523604</v>
      </c>
      <c r="S8" s="3" t="n">
        <f aca="false">L8/G8*100</f>
        <v>26.3830154483473</v>
      </c>
      <c r="T8" s="3" t="s">
        <v>48</v>
      </c>
      <c r="U8" s="3" t="s">
        <v>102</v>
      </c>
    </row>
    <row r="9" customFormat="false" ht="15" hidden="false" customHeight="false" outlineLevel="0" collapsed="false">
      <c r="A9" s="2" t="s">
        <v>103</v>
      </c>
      <c r="B9" s="2" t="s">
        <v>22</v>
      </c>
      <c r="C9" s="3" t="n">
        <v>1989</v>
      </c>
      <c r="D9" s="3" t="s">
        <v>104</v>
      </c>
      <c r="E9" s="3" t="s">
        <v>105</v>
      </c>
      <c r="F9" s="3" t="s">
        <v>25</v>
      </c>
      <c r="G9" s="3" t="n">
        <v>115.47</v>
      </c>
      <c r="H9" s="3" t="n">
        <v>1</v>
      </c>
      <c r="I9" s="3" t="n">
        <v>27.2</v>
      </c>
      <c r="J9" s="3" t="n">
        <v>29.3</v>
      </c>
      <c r="K9" s="3" t="n">
        <v>28.97</v>
      </c>
      <c r="L9" s="3" t="n">
        <v>30</v>
      </c>
      <c r="M9" s="3" t="n">
        <f aca="false">I9+J9</f>
        <v>56.5</v>
      </c>
      <c r="N9" s="3" t="n">
        <f aca="false">K9+L9</f>
        <v>58.97</v>
      </c>
      <c r="O9" s="3" t="n">
        <f aca="false">N9-M9</f>
        <v>2.47</v>
      </c>
      <c r="P9" s="3" t="n">
        <f aca="false">I9/G9*100</f>
        <v>23.5559019658786</v>
      </c>
      <c r="Q9" s="3" t="n">
        <f aca="false">J9/G9*100</f>
        <v>25.3745561617736</v>
      </c>
      <c r="R9" s="3" t="n">
        <f aca="false">K9/G9*100</f>
        <v>25.0887676452758</v>
      </c>
      <c r="S9" s="3" t="n">
        <f aca="false">L9/G9*100</f>
        <v>25.980774227072</v>
      </c>
      <c r="T9" s="3" t="s">
        <v>35</v>
      </c>
      <c r="U9" s="3" t="s">
        <v>106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7" min="4" style="0" width="10"/>
    <col collapsed="false" customWidth="true" hidden="false" outlineLevel="0" max="14" min="8" style="0" width="12"/>
  </cols>
  <sheetData>
    <row r="1" customFormat="false" ht="23.85" hidden="false" customHeight="false" outlineLevel="0" collapsed="false">
      <c r="A1" s="1" t="s">
        <v>107</v>
      </c>
      <c r="B1" s="1" t="s">
        <v>108</v>
      </c>
      <c r="C1" s="1" t="s">
        <v>109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110</v>
      </c>
      <c r="I1" s="1" t="s">
        <v>111</v>
      </c>
      <c r="J1" s="1" t="s">
        <v>112</v>
      </c>
      <c r="K1" s="1" t="s">
        <v>113</v>
      </c>
      <c r="L1" s="1" t="s">
        <v>114</v>
      </c>
      <c r="M1" s="1" t="s">
        <v>115</v>
      </c>
      <c r="N1" s="1" t="s">
        <v>116</v>
      </c>
    </row>
    <row r="2" customFormat="false" ht="15" hidden="false" customHeight="false" outlineLevel="0" collapsed="false">
      <c r="A2" s="2" t="s">
        <v>117</v>
      </c>
      <c r="B2" s="2" t="s">
        <v>118</v>
      </c>
      <c r="C2" s="3" t="n">
        <v>100.91</v>
      </c>
      <c r="D2" s="3" t="n">
        <v>23.29</v>
      </c>
      <c r="E2" s="3" t="n">
        <v>25.55</v>
      </c>
      <c r="F2" s="3" t="n">
        <v>24.79</v>
      </c>
      <c r="G2" s="3" t="n">
        <v>26.37</v>
      </c>
      <c r="H2" s="3" t="n">
        <f aca="false">C2*D2/100</f>
        <v>23.501939</v>
      </c>
      <c r="I2" s="3" t="n">
        <f aca="false">C2*E2/100</f>
        <v>25.782505</v>
      </c>
      <c r="J2" s="3" t="n">
        <f aca="false">C2*F2/100</f>
        <v>25.015589</v>
      </c>
      <c r="K2" s="3" t="n">
        <f aca="false">C2*G2/100</f>
        <v>26.609967</v>
      </c>
      <c r="L2" s="3" t="n">
        <f aca="false">H2+I2</f>
        <v>49.284444</v>
      </c>
      <c r="M2" s="3" t="n">
        <f aca="false">J2+K2</f>
        <v>51.625556</v>
      </c>
      <c r="N2" s="3" t="n">
        <f aca="false">M2-L2</f>
        <v>2.34111200000001</v>
      </c>
    </row>
    <row r="3" customFormat="false" ht="15" hidden="false" customHeight="false" outlineLevel="0" collapsed="false">
      <c r="A3" s="2" t="s">
        <v>119</v>
      </c>
      <c r="B3" s="2" t="s">
        <v>118</v>
      </c>
      <c r="C3" s="3" t="n">
        <v>103</v>
      </c>
      <c r="D3" s="3" t="n">
        <v>23.5</v>
      </c>
      <c r="E3" s="3" t="n">
        <v>25.63</v>
      </c>
      <c r="F3" s="3" t="n">
        <v>24.85</v>
      </c>
      <c r="G3" s="3" t="n">
        <v>26.02</v>
      </c>
      <c r="H3" s="3" t="n">
        <f aca="false">C3*D3/100</f>
        <v>24.205</v>
      </c>
      <c r="I3" s="3" t="n">
        <f aca="false">C3*E3/100</f>
        <v>26.3989</v>
      </c>
      <c r="J3" s="3" t="n">
        <f aca="false">C3*F3/100</f>
        <v>25.5955</v>
      </c>
      <c r="K3" s="3" t="n">
        <f aca="false">C3*G3/100</f>
        <v>26.8006</v>
      </c>
      <c r="L3" s="3" t="n">
        <f aca="false">H3+I3</f>
        <v>50.6039</v>
      </c>
      <c r="M3" s="3" t="n">
        <f aca="false">J3+K3</f>
        <v>52.3961</v>
      </c>
      <c r="N3" s="3" t="n">
        <f aca="false">M3-L3</f>
        <v>1.79220000000001</v>
      </c>
    </row>
    <row r="4" customFormat="false" ht="15" hidden="false" customHeight="false" outlineLevel="0" collapsed="false">
      <c r="A4" s="2" t="s">
        <v>120</v>
      </c>
      <c r="B4" s="2" t="s">
        <v>118</v>
      </c>
      <c r="C4" s="3" t="n">
        <v>106</v>
      </c>
      <c r="D4" s="3" t="n">
        <v>23.68</v>
      </c>
      <c r="E4" s="3" t="n">
        <v>25.47</v>
      </c>
      <c r="F4" s="3" t="n">
        <v>24.72</v>
      </c>
      <c r="G4" s="3" t="n">
        <v>26.13</v>
      </c>
      <c r="H4" s="3" t="n">
        <f aca="false">C4*D4/100</f>
        <v>25.1008</v>
      </c>
      <c r="I4" s="3" t="n">
        <f aca="false">C4*E4/100</f>
        <v>26.9982</v>
      </c>
      <c r="J4" s="3" t="n">
        <f aca="false">C4*F4/100</f>
        <v>26.2032</v>
      </c>
      <c r="K4" s="3" t="n">
        <f aca="false">C4*G4/100</f>
        <v>27.6978</v>
      </c>
      <c r="L4" s="3" t="n">
        <f aca="false">H4+I4</f>
        <v>52.099</v>
      </c>
      <c r="M4" s="3" t="n">
        <f aca="false">J4+K4</f>
        <v>53.901</v>
      </c>
      <c r="N4" s="3" t="n">
        <f aca="false">M4-L4</f>
        <v>1.802</v>
      </c>
    </row>
    <row r="5" customFormat="false" ht="15" hidden="false" customHeight="false" outlineLevel="0" collapsed="false">
      <c r="A5" s="2" t="s">
        <v>121</v>
      </c>
      <c r="B5" s="2" t="s">
        <v>118</v>
      </c>
      <c r="C5" s="3" t="n">
        <v>110</v>
      </c>
      <c r="D5" s="3" t="n">
        <v>23.82</v>
      </c>
      <c r="E5" s="3" t="n">
        <v>25.45</v>
      </c>
      <c r="F5" s="3" t="n">
        <v>24.64</v>
      </c>
      <c r="G5" s="3" t="n">
        <v>26.09</v>
      </c>
      <c r="H5" s="3" t="n">
        <f aca="false">C5*D5/100</f>
        <v>26.202</v>
      </c>
      <c r="I5" s="3" t="n">
        <f aca="false">C5*E5/100</f>
        <v>27.995</v>
      </c>
      <c r="J5" s="3" t="n">
        <f aca="false">C5*F5/100</f>
        <v>27.104</v>
      </c>
      <c r="K5" s="3" t="n">
        <f aca="false">C5*G5/100</f>
        <v>28.699</v>
      </c>
      <c r="L5" s="3" t="n">
        <f aca="false">H5+I5</f>
        <v>54.197</v>
      </c>
      <c r="M5" s="3" t="n">
        <f aca="false">J5+K5</f>
        <v>55.803</v>
      </c>
      <c r="N5" s="3" t="n">
        <f aca="false">M5-L5</f>
        <v>1.60599999999999</v>
      </c>
    </row>
    <row r="6" customFormat="false" ht="15" hidden="false" customHeight="false" outlineLevel="0" collapsed="false">
      <c r="A6" s="2" t="s">
        <v>122</v>
      </c>
      <c r="B6" s="2" t="s">
        <v>118</v>
      </c>
      <c r="C6" s="3" t="n">
        <v>114</v>
      </c>
      <c r="D6" s="3" t="n">
        <v>23.95</v>
      </c>
      <c r="E6" s="3" t="n">
        <v>25.44</v>
      </c>
      <c r="F6" s="3" t="n">
        <v>24.56</v>
      </c>
      <c r="G6" s="3" t="n">
        <v>26.05</v>
      </c>
      <c r="H6" s="3" t="n">
        <f aca="false">C6*D6/100</f>
        <v>27.303</v>
      </c>
      <c r="I6" s="3" t="n">
        <f aca="false">C6*E6/100</f>
        <v>29.0016</v>
      </c>
      <c r="J6" s="3" t="n">
        <f aca="false">C6*F6/100</f>
        <v>27.9984</v>
      </c>
      <c r="K6" s="3" t="n">
        <f aca="false">C6*G6/100</f>
        <v>29.697</v>
      </c>
      <c r="L6" s="3" t="n">
        <f aca="false">H6+I6</f>
        <v>56.3046</v>
      </c>
      <c r="M6" s="3" t="n">
        <f aca="false">J6+K6</f>
        <v>57.6954</v>
      </c>
      <c r="N6" s="3" t="n">
        <f aca="false">M6-L6</f>
        <v>1.3908</v>
      </c>
    </row>
    <row r="7" customFormat="false" ht="15" hidden="false" customHeight="false" outlineLevel="0" collapsed="false">
      <c r="A7" s="2" t="s">
        <v>123</v>
      </c>
      <c r="B7" s="2" t="s">
        <v>118</v>
      </c>
      <c r="C7" s="3" t="n">
        <v>124</v>
      </c>
      <c r="D7" s="3" t="n">
        <v>24.19</v>
      </c>
      <c r="E7" s="3" t="n">
        <v>25.4</v>
      </c>
      <c r="F7" s="3" t="n">
        <v>24.44</v>
      </c>
      <c r="G7" s="3" t="n">
        <v>25.97</v>
      </c>
      <c r="H7" s="3" t="n">
        <f aca="false">C7*D7/100</f>
        <v>29.9956</v>
      </c>
      <c r="I7" s="3" t="n">
        <f aca="false">C7*E7/100</f>
        <v>31.496</v>
      </c>
      <c r="J7" s="3" t="n">
        <f aca="false">C7*F7/100</f>
        <v>30.3056</v>
      </c>
      <c r="K7" s="3" t="n">
        <f aca="false">C7*G7/100</f>
        <v>32.2028</v>
      </c>
      <c r="L7" s="3" t="n">
        <f aca="false">H7+I7</f>
        <v>61.4916</v>
      </c>
      <c r="M7" s="3" t="n">
        <f aca="false">J7+K7</f>
        <v>62.5084</v>
      </c>
      <c r="N7" s="3" t="n">
        <f aca="false">M7-L7</f>
        <v>1.0168</v>
      </c>
    </row>
    <row r="8" customFormat="false" ht="15" hidden="false" customHeight="false" outlineLevel="0" collapsed="false">
      <c r="A8" s="2" t="s">
        <v>124</v>
      </c>
      <c r="B8" s="2" t="s">
        <v>118</v>
      </c>
      <c r="C8" s="3" t="n">
        <v>140</v>
      </c>
      <c r="D8" s="3" t="n">
        <v>24.29</v>
      </c>
      <c r="E8" s="3" t="n">
        <v>25.36</v>
      </c>
      <c r="F8" s="3" t="n">
        <v>24.36</v>
      </c>
      <c r="G8" s="3" t="n">
        <v>25.99</v>
      </c>
      <c r="H8" s="3" t="n">
        <f aca="false">C8*D8/100</f>
        <v>34.006</v>
      </c>
      <c r="I8" s="3" t="n">
        <f aca="false">C8*E8/100</f>
        <v>35.504</v>
      </c>
      <c r="J8" s="3" t="n">
        <f aca="false">C8*F8/100</f>
        <v>34.104</v>
      </c>
      <c r="K8" s="3" t="n">
        <f aca="false">C8*G8/100</f>
        <v>36.386</v>
      </c>
      <c r="L8" s="3" t="n">
        <f aca="false">H8+I8</f>
        <v>69.51</v>
      </c>
      <c r="M8" s="3" t="n">
        <f aca="false">J8+K8</f>
        <v>70.49</v>
      </c>
      <c r="N8" s="3" t="n">
        <f aca="false">M8-L8</f>
        <v>0.980000000000004</v>
      </c>
    </row>
    <row r="9" customFormat="false" ht="15" hidden="false" customHeight="false" outlineLevel="0" collapsed="false">
      <c r="A9" s="2" t="s">
        <v>117</v>
      </c>
      <c r="B9" s="2" t="s">
        <v>125</v>
      </c>
      <c r="C9" s="3" t="n">
        <v>113.28</v>
      </c>
      <c r="D9" s="3" t="n">
        <v>23.13</v>
      </c>
      <c r="E9" s="3" t="n">
        <v>25.42</v>
      </c>
      <c r="F9" s="3" t="n">
        <v>25.16</v>
      </c>
      <c r="G9" s="3" t="n">
        <v>26.29</v>
      </c>
      <c r="H9" s="3" t="n">
        <f aca="false">C9*D9/100</f>
        <v>26.201664</v>
      </c>
      <c r="I9" s="3" t="n">
        <f aca="false">C9*E9/100</f>
        <v>28.795776</v>
      </c>
      <c r="J9" s="3" t="n">
        <f aca="false">C9*F9/100</f>
        <v>28.501248</v>
      </c>
      <c r="K9" s="3" t="n">
        <f aca="false">C9*G9/100</f>
        <v>29.781312</v>
      </c>
      <c r="L9" s="3" t="n">
        <f aca="false">H9+I9</f>
        <v>54.99744</v>
      </c>
      <c r="M9" s="3" t="n">
        <f aca="false">J9+K9</f>
        <v>58.28256</v>
      </c>
      <c r="N9" s="3" t="n">
        <f aca="false">M9-L9</f>
        <v>3.28512000000001</v>
      </c>
    </row>
    <row r="10" customFormat="false" ht="15" hidden="false" customHeight="false" outlineLevel="0" collapsed="false">
      <c r="A10" s="2" t="s">
        <v>126</v>
      </c>
      <c r="B10" s="2" t="s">
        <v>125</v>
      </c>
      <c r="C10" s="3" t="n">
        <v>116</v>
      </c>
      <c r="D10" s="3" t="n">
        <v>23.4</v>
      </c>
      <c r="E10" s="3" t="n">
        <v>25.26</v>
      </c>
      <c r="F10" s="3" t="n">
        <v>25.09</v>
      </c>
      <c r="G10" s="3" t="n">
        <v>26.25</v>
      </c>
      <c r="H10" s="3" t="n">
        <f aca="false">C10*D10/100</f>
        <v>27.144</v>
      </c>
      <c r="I10" s="3" t="n">
        <f aca="false">C10*E10/100</f>
        <v>29.3016</v>
      </c>
      <c r="J10" s="3" t="n">
        <f aca="false">C10*F10/100</f>
        <v>29.1044</v>
      </c>
      <c r="K10" s="3" t="n">
        <f aca="false">C10*G10/100</f>
        <v>30.45</v>
      </c>
      <c r="L10" s="3" t="n">
        <f aca="false">H10+I10</f>
        <v>56.4456</v>
      </c>
      <c r="M10" s="3" t="n">
        <f aca="false">J10+K10</f>
        <v>59.5544</v>
      </c>
      <c r="N10" s="3" t="n">
        <f aca="false">M10-L10</f>
        <v>3.1088</v>
      </c>
    </row>
    <row r="11" customFormat="false" ht="15" hidden="false" customHeight="false" outlineLevel="0" collapsed="false">
      <c r="A11" s="2" t="s">
        <v>127</v>
      </c>
      <c r="B11" s="2" t="s">
        <v>125</v>
      </c>
      <c r="C11" s="3" t="n">
        <v>120</v>
      </c>
      <c r="D11" s="3" t="n">
        <v>23.58</v>
      </c>
      <c r="E11" s="3" t="n">
        <v>25.17</v>
      </c>
      <c r="F11" s="3" t="n">
        <v>24.92</v>
      </c>
      <c r="G11" s="3" t="n">
        <v>26.33</v>
      </c>
      <c r="H11" s="3" t="n">
        <f aca="false">C11*D11/100</f>
        <v>28.296</v>
      </c>
      <c r="I11" s="3" t="n">
        <f aca="false">C11*E11/100</f>
        <v>30.204</v>
      </c>
      <c r="J11" s="3" t="n">
        <f aca="false">C11*F11/100</f>
        <v>29.904</v>
      </c>
      <c r="K11" s="3" t="n">
        <f aca="false">C11*G11/100</f>
        <v>31.596</v>
      </c>
      <c r="L11" s="3" t="n">
        <f aca="false">H11+I11</f>
        <v>58.5</v>
      </c>
      <c r="M11" s="3" t="n">
        <f aca="false">J11+K11</f>
        <v>61.5</v>
      </c>
      <c r="N11" s="3" t="n">
        <f aca="false">M11-L11</f>
        <v>3</v>
      </c>
    </row>
    <row r="12" customFormat="false" ht="15" hidden="false" customHeight="false" outlineLevel="0" collapsed="false">
      <c r="A12" s="2" t="s">
        <v>128</v>
      </c>
      <c r="B12" s="2" t="s">
        <v>125</v>
      </c>
      <c r="C12" s="3" t="n">
        <v>126</v>
      </c>
      <c r="D12" s="3" t="n">
        <v>23.73</v>
      </c>
      <c r="E12" s="3" t="n">
        <v>25.08</v>
      </c>
      <c r="F12" s="3" t="n">
        <v>24.76</v>
      </c>
      <c r="G12" s="3" t="n">
        <v>26.43</v>
      </c>
      <c r="H12" s="3" t="n">
        <f aca="false">C12*D12/100</f>
        <v>29.8998</v>
      </c>
      <c r="I12" s="3" t="n">
        <f aca="false">C12*E12/100</f>
        <v>31.6008</v>
      </c>
      <c r="J12" s="3" t="n">
        <f aca="false">C12*F12/100</f>
        <v>31.1976</v>
      </c>
      <c r="K12" s="3" t="n">
        <f aca="false">C12*G12/100</f>
        <v>33.3018</v>
      </c>
      <c r="L12" s="3" t="n">
        <f aca="false">H12+I12</f>
        <v>61.5006</v>
      </c>
      <c r="M12" s="3" t="n">
        <f aca="false">J12+K12</f>
        <v>64.4994</v>
      </c>
      <c r="N12" s="3" t="n">
        <f aca="false">M12-L12</f>
        <v>2.99880000000001</v>
      </c>
    </row>
    <row r="13" customFormat="false" ht="15" hidden="false" customHeight="false" outlineLevel="0" collapsed="false">
      <c r="A13" s="2" t="s">
        <v>129</v>
      </c>
      <c r="B13" s="2" t="s">
        <v>125</v>
      </c>
      <c r="C13" s="3" t="n">
        <v>133</v>
      </c>
      <c r="D13" s="3" t="n">
        <v>23.91</v>
      </c>
      <c r="E13" s="3" t="n">
        <v>25.04</v>
      </c>
      <c r="F13" s="3" t="n">
        <v>24.56</v>
      </c>
      <c r="G13" s="3" t="n">
        <v>26.49</v>
      </c>
      <c r="H13" s="3" t="n">
        <f aca="false">C13*D13/100</f>
        <v>31.8003</v>
      </c>
      <c r="I13" s="3" t="n">
        <f aca="false">C13*E13/100</f>
        <v>33.3032</v>
      </c>
      <c r="J13" s="3" t="n">
        <f aca="false">C13*F13/100</f>
        <v>32.6648</v>
      </c>
      <c r="K13" s="3" t="n">
        <f aca="false">C13*G13/100</f>
        <v>35.2317</v>
      </c>
      <c r="L13" s="3" t="n">
        <f aca="false">H13+I13</f>
        <v>65.1035</v>
      </c>
      <c r="M13" s="3" t="n">
        <f aca="false">J13+K13</f>
        <v>67.8965</v>
      </c>
      <c r="N13" s="3" t="n">
        <f aca="false">M13-L13</f>
        <v>2.79300000000001</v>
      </c>
    </row>
    <row r="14" customFormat="false" ht="15" hidden="false" customHeight="false" outlineLevel="0" collapsed="false">
      <c r="A14" s="2" t="s">
        <v>130</v>
      </c>
      <c r="B14" s="2" t="s">
        <v>125</v>
      </c>
      <c r="C14" s="3" t="n">
        <v>150</v>
      </c>
      <c r="D14" s="3" t="n">
        <v>24.13</v>
      </c>
      <c r="E14" s="3" t="n">
        <v>25</v>
      </c>
      <c r="F14" s="3" t="n">
        <v>24.4</v>
      </c>
      <c r="G14" s="3" t="n">
        <v>26.47</v>
      </c>
      <c r="H14" s="3" t="n">
        <f aca="false">C14*D14/100</f>
        <v>36.195</v>
      </c>
      <c r="I14" s="3" t="n">
        <f aca="false">C14*E14/100</f>
        <v>37.5</v>
      </c>
      <c r="J14" s="3" t="n">
        <f aca="false">C14*F14/100</f>
        <v>36.6</v>
      </c>
      <c r="K14" s="3" t="n">
        <f aca="false">C14*G14/100</f>
        <v>39.705</v>
      </c>
      <c r="L14" s="3" t="n">
        <f aca="false">H14+I14</f>
        <v>73.695</v>
      </c>
      <c r="M14" s="3" t="n">
        <f aca="false">J14+K14</f>
        <v>76.305</v>
      </c>
      <c r="N14" s="3" t="n">
        <f aca="false">M14-L14</f>
        <v>2.61000000000001</v>
      </c>
    </row>
    <row r="15" customFormat="false" ht="15" hidden="false" customHeight="false" outlineLevel="0" collapsed="false">
      <c r="A15" s="2" t="s">
        <v>131</v>
      </c>
      <c r="B15" s="2" t="s">
        <v>125</v>
      </c>
      <c r="C15" s="3" t="n">
        <v>175</v>
      </c>
      <c r="D15" s="3" t="n">
        <v>24.29</v>
      </c>
      <c r="E15" s="3" t="n">
        <v>24.97</v>
      </c>
      <c r="F15" s="3" t="n">
        <v>24.29</v>
      </c>
      <c r="G15" s="3" t="n">
        <v>26.46</v>
      </c>
      <c r="H15" s="3" t="n">
        <f aca="false">C15*D15/100</f>
        <v>42.5075</v>
      </c>
      <c r="I15" s="3" t="n">
        <f aca="false">C15*E15/100</f>
        <v>43.6975</v>
      </c>
      <c r="J15" s="3" t="n">
        <f aca="false">C15*F15/100</f>
        <v>42.5075</v>
      </c>
      <c r="K15" s="3" t="n">
        <f aca="false">C15*G15/100</f>
        <v>46.305</v>
      </c>
      <c r="L15" s="3" t="n">
        <f aca="false">H15+I15</f>
        <v>86.205</v>
      </c>
      <c r="M15" s="3" t="n">
        <f aca="false">J15+K15</f>
        <v>88.8125</v>
      </c>
      <c r="N15" s="3" t="n">
        <f aca="false">M15-L15</f>
        <v>2.6075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4" min="2" style="0" width="14"/>
    <col collapsed="false" customWidth="true" hidden="false" outlineLevel="0" max="5" min="5" style="0" width="12"/>
  </cols>
  <sheetData>
    <row r="1" customFormat="false" ht="17.35" hidden="false" customHeight="false" outlineLevel="0" collapsed="false">
      <c r="A1" s="4" t="s">
        <v>132</v>
      </c>
    </row>
    <row r="3" customFormat="false" ht="15" hidden="false" customHeight="false" outlineLevel="0" collapsed="false">
      <c r="A3" s="0" t="s">
        <v>133</v>
      </c>
      <c r="C3" s="5" t="n">
        <v>120</v>
      </c>
    </row>
    <row r="4" customFormat="false" ht="15" hidden="false" customHeight="false" outlineLevel="0" collapsed="false">
      <c r="A4" s="0" t="s">
        <v>134</v>
      </c>
      <c r="C4" s="0" t="s">
        <v>135</v>
      </c>
    </row>
    <row r="6" customFormat="false" ht="15" hidden="false" customHeight="false" outlineLevel="0" collapsed="false">
      <c r="A6" s="0" t="s">
        <v>136</v>
      </c>
    </row>
    <row r="7" customFormat="false" ht="15" hidden="false" customHeight="false" outlineLevel="0" collapsed="false">
      <c r="A7" s="1" t="s">
        <v>137</v>
      </c>
      <c r="B7" s="1" t="s">
        <v>138</v>
      </c>
      <c r="C7" s="1" t="s">
        <v>139</v>
      </c>
      <c r="D7" s="1" t="s">
        <v>140</v>
      </c>
      <c r="E7" s="1" t="s">
        <v>141</v>
      </c>
    </row>
    <row r="8" customFormat="false" ht="15" hidden="false" customHeight="false" outlineLevel="0" collapsed="false">
      <c r="A8" s="0" t="s">
        <v>142</v>
      </c>
      <c r="B8" s="0" t="n">
        <f aca="false">IF(C4="M",C3*0.2368,C3*0.2358)</f>
        <v>28.416</v>
      </c>
      <c r="C8" s="0" t="n">
        <f aca="false">B8</f>
        <v>28.416</v>
      </c>
      <c r="D8" s="0" t="n">
        <f aca="false">200/B8</f>
        <v>7.03828828828829</v>
      </c>
      <c r="E8" s="0" t="n">
        <f aca="false">B8/C3*100</f>
        <v>23.68</v>
      </c>
    </row>
    <row r="9" customFormat="false" ht="15" hidden="false" customHeight="false" outlineLevel="0" collapsed="false">
      <c r="A9" s="0" t="s">
        <v>143</v>
      </c>
      <c r="B9" s="0" t="n">
        <f aca="false">IF(C4="M",C3*0.2547,C3*0.2517)</f>
        <v>30.564</v>
      </c>
      <c r="C9" s="0" t="n">
        <f aca="false">C8+B9</f>
        <v>58.98</v>
      </c>
      <c r="D9" s="0" t="n">
        <f aca="false">200/B9</f>
        <v>6.54364611961785</v>
      </c>
      <c r="E9" s="0" t="n">
        <f aca="false">B9/C3*100</f>
        <v>25.47</v>
      </c>
    </row>
    <row r="10" customFormat="false" ht="15" hidden="false" customHeight="false" outlineLevel="0" collapsed="false">
      <c r="A10" s="0" t="s">
        <v>144</v>
      </c>
      <c r="B10" s="0" t="n">
        <f aca="false">IF(C4="M",C3*0.2472,C3*0.2492)</f>
        <v>29.664</v>
      </c>
      <c r="C10" s="0" t="n">
        <f aca="false">C9+B10</f>
        <v>88.644</v>
      </c>
      <c r="D10" s="0" t="n">
        <f aca="false">200/B10</f>
        <v>6.74217907227616</v>
      </c>
      <c r="E10" s="0" t="n">
        <f aca="false">B10/C3*100</f>
        <v>24.72</v>
      </c>
    </row>
    <row r="11" customFormat="false" ht="15" hidden="false" customHeight="false" outlineLevel="0" collapsed="false">
      <c r="A11" s="0" t="s">
        <v>145</v>
      </c>
      <c r="B11" s="0" t="n">
        <f aca="false">IF(C4="M",C3*0.2613,C3*0.2633)</f>
        <v>31.356</v>
      </c>
      <c r="C11" s="0" t="n">
        <f aca="false">C10+B11</f>
        <v>120</v>
      </c>
      <c r="D11" s="0" t="n">
        <f aca="false">200/B11</f>
        <v>6.37836458731981</v>
      </c>
      <c r="E11" s="0" t="n">
        <f aca="false">B11/C3*100</f>
        <v>26.13</v>
      </c>
    </row>
    <row r="12" customFormat="false" ht="15" hidden="false" customHeight="false" outlineLevel="0" collapsed="false">
      <c r="A12" s="0" t="s">
        <v>146</v>
      </c>
      <c r="B12" s="0" t="n">
        <f aca="false">SUM(B8:B11)</f>
        <v>120</v>
      </c>
      <c r="C12" s="0" t="n">
        <f aca="false">C11</f>
        <v>120</v>
      </c>
    </row>
    <row r="14" customFormat="false" ht="15" hidden="false" customHeight="false" outlineLevel="0" collapsed="false">
      <c r="A14" s="0" t="s">
        <v>147</v>
      </c>
      <c r="B14" s="0" t="n">
        <f aca="false">B8+B9</f>
        <v>58.98</v>
      </c>
    </row>
    <row r="15" customFormat="false" ht="15" hidden="false" customHeight="false" outlineLevel="0" collapsed="false">
      <c r="A15" s="0" t="s">
        <v>148</v>
      </c>
      <c r="B15" s="0" t="n">
        <f aca="false">B10+B11</f>
        <v>61.02</v>
      </c>
    </row>
    <row r="16" customFormat="false" ht="15" hidden="false" customHeight="false" outlineLevel="0" collapsed="false">
      <c r="A16" s="0" t="s">
        <v>116</v>
      </c>
      <c r="B16" s="0" t="n">
        <f aca="false">B15-B14</f>
        <v>2.04</v>
      </c>
    </row>
    <row r="17" customFormat="false" ht="15" hidden="false" customHeight="false" outlineLevel="0" collapsed="false">
      <c r="A17" s="0" t="s">
        <v>149</v>
      </c>
      <c r="B17" s="0" t="n">
        <f aca="false">C3/2</f>
        <v>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40"/>
    <col collapsed="false" customWidth="true" hidden="false" outlineLevel="0" max="3" min="3" style="0" width="80"/>
  </cols>
  <sheetData>
    <row r="1" customFormat="false" ht="17.35" hidden="false" customHeight="false" outlineLevel="0" collapsed="false">
      <c r="A1" s="4" t="s">
        <v>150</v>
      </c>
    </row>
    <row r="3" customFormat="false" ht="15" hidden="false" customHeight="false" outlineLevel="0" collapsed="false">
      <c r="A3" s="6" t="s">
        <v>151</v>
      </c>
      <c r="B3" s="7" t="s">
        <v>152</v>
      </c>
      <c r="C3" s="7" t="s">
        <v>153</v>
      </c>
    </row>
    <row r="4" customFormat="false" ht="15" hidden="false" customHeight="false" outlineLevel="0" collapsed="false">
      <c r="A4" s="7"/>
      <c r="B4" s="7" t="s">
        <v>154</v>
      </c>
      <c r="C4" s="7" t="s">
        <v>155</v>
      </c>
    </row>
    <row r="5" customFormat="false" ht="15" hidden="false" customHeight="false" outlineLevel="0" collapsed="false">
      <c r="A5" s="6" t="s">
        <v>156</v>
      </c>
      <c r="B5" s="7" t="s">
        <v>157</v>
      </c>
      <c r="C5" s="7" t="s">
        <v>158</v>
      </c>
    </row>
    <row r="6" customFormat="false" ht="15" hidden="false" customHeight="false" outlineLevel="0" collapsed="false">
      <c r="A6" s="7"/>
      <c r="B6" s="7" t="s">
        <v>159</v>
      </c>
      <c r="C6" s="7" t="s">
        <v>160</v>
      </c>
    </row>
    <row r="7" customFormat="false" ht="15" hidden="false" customHeight="false" outlineLevel="0" collapsed="false">
      <c r="A7" s="7"/>
      <c r="B7" s="7"/>
      <c r="C7" s="7"/>
    </row>
    <row r="8" customFormat="false" ht="15" hidden="false" customHeight="false" outlineLevel="0" collapsed="false">
      <c r="A8" s="6" t="s">
        <v>161</v>
      </c>
      <c r="B8" s="7"/>
      <c r="C8" s="7"/>
    </row>
    <row r="9" customFormat="false" ht="15" hidden="false" customHeight="false" outlineLevel="0" collapsed="false">
      <c r="A9" s="7"/>
      <c r="B9" s="7" t="s">
        <v>162</v>
      </c>
      <c r="C9" s="7"/>
    </row>
    <row r="10" customFormat="false" ht="15" hidden="false" customHeight="false" outlineLevel="0" collapsed="false">
      <c r="A10" s="7"/>
      <c r="B10" s="7" t="s">
        <v>163</v>
      </c>
      <c r="C10" s="7"/>
    </row>
    <row r="11" customFormat="false" ht="15" hidden="false" customHeight="false" outlineLevel="0" collapsed="false">
      <c r="A11" s="7"/>
      <c r="B11" s="7" t="s">
        <v>164</v>
      </c>
      <c r="C11" s="7"/>
    </row>
    <row r="12" customFormat="false" ht="15" hidden="false" customHeight="false" outlineLevel="0" collapsed="false">
      <c r="A12" s="7"/>
      <c r="B12" s="7" t="s">
        <v>165</v>
      </c>
      <c r="C12" s="7"/>
    </row>
    <row r="13" customFormat="false" ht="15" hidden="false" customHeight="false" outlineLevel="0" collapsed="false">
      <c r="A13" s="7"/>
      <c r="B13" s="7" t="s">
        <v>166</v>
      </c>
      <c r="C13" s="7"/>
    </row>
    <row r="14" customFormat="false" ht="15" hidden="false" customHeight="false" outlineLevel="0" collapsed="false">
      <c r="A14" s="7"/>
      <c r="B14" s="7" t="s">
        <v>167</v>
      </c>
      <c r="C14" s="7"/>
    </row>
    <row r="15" customFormat="false" ht="15" hidden="false" customHeight="false" outlineLevel="0" collapsed="false">
      <c r="A15" s="7"/>
      <c r="B15" s="7" t="s">
        <v>168</v>
      </c>
      <c r="C15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2026-03-21T13:21:16Z</dcterms:created>
  <dc:creator>openpyxl</dc:creator>
  <dc:description/>
  <dc:language>en-US</dc:language>
  <cp:lastModifiedBy/>
  <dcterms:modified xsi:type="dcterms:W3CDTF">2026-03-21T13:21:16Z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